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i\Downloads\proj12\"/>
    </mc:Choice>
  </mc:AlternateContent>
  <xr:revisionPtr revIDLastSave="0" documentId="13_ncr:1_{83549318-5003-4884-97FC-9A80FAB08A0E}" xr6:coauthVersionLast="47" xr6:coauthVersionMax="47" xr10:uidLastSave="{00000000-0000-0000-0000-000000000000}"/>
  <bookViews>
    <workbookView xWindow="-28920" yWindow="7875" windowWidth="29040" windowHeight="15840" tabRatio="500" xr2:uid="{00000000-000D-0000-FFFF-FFFF00000000}"/>
  </bookViews>
  <sheets>
    <sheet name="Dimensionnement" sheetId="1" r:id="rId1"/>
    <sheet name="Planning_sprints" sheetId="2" r:id="rId2"/>
    <sheet name="Registre_CNIL_Liste" sheetId="3" r:id="rId3"/>
    <sheet name="Registre_CNIL_Fiche" sheetId="4" r:id="rId4"/>
    <sheet name="Risques" sheetId="5" r:id="rId5"/>
  </sheets>
  <calcPr calcId="191029" iterateDelta="1E-4"/>
</workbook>
</file>

<file path=xl/calcChain.xml><?xml version="1.0" encoding="utf-8"?>
<calcChain xmlns="http://schemas.openxmlformats.org/spreadsheetml/2006/main">
  <c r="H17" i="5" l="1"/>
  <c r="H16" i="5"/>
  <c r="H15" i="5"/>
  <c r="H14" i="5"/>
  <c r="H13" i="5"/>
  <c r="H12" i="5"/>
  <c r="H11" i="5"/>
  <c r="H10" i="5"/>
  <c r="H9" i="5"/>
  <c r="H8" i="5"/>
  <c r="H7" i="5"/>
  <c r="H6" i="5"/>
  <c r="H5" i="5"/>
  <c r="D13" i="2"/>
  <c r="B78" i="1"/>
  <c r="B79" i="1" s="1"/>
  <c r="G77" i="1"/>
  <c r="G78" i="1" s="1"/>
  <c r="G79" i="1" s="1"/>
  <c r="B77" i="1"/>
  <c r="D72" i="1"/>
  <c r="D67" i="1"/>
  <c r="C61" i="1"/>
  <c r="B61" i="1"/>
  <c r="D61" i="1" s="1"/>
  <c r="C60" i="1"/>
  <c r="B60" i="1"/>
  <c r="D60" i="1" s="1"/>
  <c r="C59" i="1"/>
  <c r="B59" i="1"/>
  <c r="D59" i="1" s="1"/>
  <c r="C58" i="1"/>
  <c r="B58" i="1"/>
  <c r="D58" i="1" s="1"/>
  <c r="C57" i="1"/>
  <c r="B57" i="1"/>
  <c r="D57" i="1" s="1"/>
  <c r="C56" i="1"/>
  <c r="B56" i="1"/>
  <c r="D56" i="1" s="1"/>
  <c r="D55" i="1"/>
  <c r="C55" i="1"/>
  <c r="B55" i="1"/>
  <c r="C54" i="1"/>
  <c r="B54" i="1"/>
  <c r="D54" i="1" s="1"/>
  <c r="C53" i="1"/>
  <c r="B53" i="1"/>
  <c r="D53" i="1" s="1"/>
  <c r="C52" i="1"/>
  <c r="B52" i="1"/>
  <c r="D52" i="1" s="1"/>
  <c r="B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48" i="1" l="1"/>
  <c r="B80" i="1"/>
  <c r="D62" i="1"/>
  <c r="D66" i="1" s="1"/>
  <c r="B62" i="1"/>
  <c r="D71" i="1" l="1"/>
  <c r="D73" i="1" s="1"/>
  <c r="D68" i="1"/>
  <c r="C77" i="1" s="1"/>
  <c r="B81" i="1"/>
  <c r="G80" i="1"/>
  <c r="G81" i="1" s="1"/>
  <c r="H77" i="1" l="1"/>
  <c r="D77" i="1"/>
  <c r="E77" i="1" s="1"/>
  <c r="C80" i="1"/>
  <c r="D80" i="1" s="1"/>
  <c r="C79" i="1"/>
  <c r="D79" i="1" s="1"/>
  <c r="C81" i="1"/>
  <c r="D81" i="1" s="1"/>
  <c r="C78" i="1"/>
  <c r="D78" i="1" s="1"/>
  <c r="F77" i="1" l="1"/>
  <c r="D83" i="1"/>
  <c r="E78" i="1"/>
  <c r="H78" i="1"/>
  <c r="H79" i="1" s="1"/>
  <c r="H80" i="1" s="1"/>
  <c r="H81" i="1" s="1"/>
  <c r="E79" i="1" l="1"/>
  <c r="F78" i="1"/>
  <c r="F79" i="1" l="1"/>
  <c r="E80" i="1"/>
  <c r="E81" i="1" l="1"/>
  <c r="F81" i="1" s="1"/>
  <c r="F80" i="1"/>
</calcChain>
</file>

<file path=xl/sharedStrings.xml><?xml version="1.0" encoding="utf-8"?>
<sst xmlns="http://schemas.openxmlformats.org/spreadsheetml/2006/main" count="435" uniqueCount="380">
  <si>
    <t>Dimensionnement du projet</t>
  </si>
  <si>
    <t>Profils et tarifs journaliers</t>
  </si>
  <si>
    <t>Profil</t>
  </si>
  <si>
    <t>Tarif journalier</t>
  </si>
  <si>
    <t>Commentaire</t>
  </si>
  <si>
    <t>Data Scientist</t>
  </si>
  <si>
    <t>Profil expérimenté du marché français.</t>
  </si>
  <si>
    <t>ML Engineer</t>
  </si>
  <si>
    <t>Profil plus rare, axé MLOps.</t>
  </si>
  <si>
    <t>Architecte cloud Azure</t>
  </si>
  <si>
    <t>Senior, intervient ponctuellement.</t>
  </si>
  <si>
    <t>Développeur mobile (iOS / Android)</t>
  </si>
  <si>
    <t>Profil intermédiaire.</t>
  </si>
  <si>
    <t>Ingénieur DevOps</t>
  </si>
  <si>
    <t>Profil tendu sur Azure.</t>
  </si>
  <si>
    <t>Designer UX</t>
  </si>
  <si>
    <t>Parcours et écrans clés.</t>
  </si>
  <si>
    <t>Product Owner</t>
  </si>
  <si>
    <t>Présent tout au long du projet.</t>
  </si>
  <si>
    <t>Scrum Master</t>
  </si>
  <si>
    <t>Souvent à mi-temps.</t>
  </si>
  <si>
    <t>Testeur QA</t>
  </si>
  <si>
    <t>Présent à la fin de chaque sprint.</t>
  </si>
  <si>
    <t>Délégué à la protection des données</t>
  </si>
  <si>
    <t>Quelques jours sur les sujets RGPD.</t>
  </si>
  <si>
    <t>Paramètres du projet</t>
  </si>
  <si>
    <t>Paramètre</t>
  </si>
  <si>
    <t>Valeur</t>
  </si>
  <si>
    <t>Durée d'un sprint (semaines)</t>
  </si>
  <si>
    <t>Rythme standard SCRUM.</t>
  </si>
  <si>
    <t>Nombre de sprints</t>
  </si>
  <si>
    <t>Calculé à partir de la charge totale.</t>
  </si>
  <si>
    <t>Taux de maintenance annuelle</t>
  </si>
  <si>
    <t>15 % du coût de développement, pratique courante.</t>
  </si>
  <si>
    <t>Coût Azure (entraînement, ponctuel)</t>
  </si>
  <si>
    <t>Phase d'expérimentation et d'entraînement des modèles.</t>
  </si>
  <si>
    <t>Coût Azure (production, par an)</t>
  </si>
  <si>
    <t>Inférence, stockage des photos, base de données, supervision.</t>
  </si>
  <si>
    <t>Gains attendus</t>
  </si>
  <si>
    <t>Hypothèse</t>
  </si>
  <si>
    <t>Chiffre d'affaires additionnel année 1</t>
  </si>
  <si>
    <t>Estimation du marketing. Montée en charge progressive.</t>
  </si>
  <si>
    <t>Croissance année 2</t>
  </si>
  <si>
    <t>Effet d'adoption sur la deuxième année.</t>
  </si>
  <si>
    <t>Croissance à partir de l'année 3</t>
  </si>
  <si>
    <t>Croissance stabilisée.</t>
  </si>
  <si>
    <t>Chiffrage par fonctionnalité (charge en jours-homme et répartition par profil)</t>
  </si>
  <si>
    <t>Fonctionnalité</t>
  </si>
  <si>
    <t>Charge (j)</t>
  </si>
  <si>
    <t>Coût (€)</t>
  </si>
  <si>
    <t>Inscription et connexion à l'application</t>
  </si>
  <si>
    <t>Prise de photo dans l'application</t>
  </si>
  <si>
    <t>Gestion de la collection de photos</t>
  </si>
  <si>
    <t>Recommandation à partir de ma garde-robe</t>
  </si>
  <si>
    <t>Sélection des styles préférés</t>
  </si>
  <si>
    <t>Sélection des marques préférées</t>
  </si>
  <si>
    <t>Sources d'inspiration externes</t>
  </si>
  <si>
    <t>Recommandation à partir de mes préférences</t>
  </si>
  <si>
    <t>Affichage du vêtement recommandé sur ma photo</t>
  </si>
  <si>
    <t>Changement de couleur du vêtement</t>
  </si>
  <si>
    <t>Changement de style du vêtement</t>
  </si>
  <si>
    <t>Avis sur les recommandations</t>
  </si>
  <si>
    <t>Achat d'un article recommandé</t>
  </si>
  <si>
    <t>Consentement à la collecte des photos</t>
  </si>
  <si>
    <t>Accès et suppression de mes données personnelles</t>
  </si>
  <si>
    <t>Purge automatique en cas d'inactivité</t>
  </si>
  <si>
    <t>Total</t>
  </si>
  <si>
    <t>Synthèse par profil</t>
  </si>
  <si>
    <t>Coût total</t>
  </si>
  <si>
    <t>Mode d'intervention</t>
  </si>
  <si>
    <t>Présent sur toutes les fonctionnalités IA.</t>
  </si>
  <si>
    <t>Surtout sur les fonctionnalités lourdes.</t>
  </si>
  <si>
    <t>Ponctuel, sur l'architecture.</t>
  </si>
  <si>
    <t>Présent sur toutes les fonctionnalités.</t>
  </si>
  <si>
    <t>Mise en place CI/CD, purge, supervision.</t>
  </si>
  <si>
    <t>Parcours et écrans.</t>
  </si>
  <si>
    <t>Très présent, 80 % du temps.</t>
  </si>
  <si>
    <t>Mi-temps.</t>
  </si>
  <si>
    <t>Surtout en fin de sprint.</t>
  </si>
  <si>
    <t>Coût humain total</t>
  </si>
  <si>
    <t>Coûts du projet</t>
  </si>
  <si>
    <t>Investissement initial (versement unique)</t>
  </si>
  <si>
    <t>Coût humain (équipe projet)</t>
  </si>
  <si>
    <t>Azure (entraînement, environnement de dev)</t>
  </si>
  <si>
    <t>Total investissement initial</t>
  </si>
  <si>
    <t>Coûts récurrents (par année)</t>
  </si>
  <si>
    <t>Maintenance applicative (15 % du coût humain)</t>
  </si>
  <si>
    <t>Azure en production</t>
  </si>
  <si>
    <t>Total coûts récurrents par an</t>
  </si>
  <si>
    <t>Rentabilité sur 5 ans</t>
  </si>
  <si>
    <t>Année</t>
  </si>
  <si>
    <t>Gains</t>
  </si>
  <si>
    <t>Coûts</t>
  </si>
  <si>
    <t>Flux net annuel</t>
  </si>
  <si>
    <t>Flux net cumulé</t>
  </si>
  <si>
    <t>Statut</t>
  </si>
  <si>
    <t>Gains cumulés</t>
  </si>
  <si>
    <t>Coûts cumulés</t>
  </si>
  <si>
    <t>Année 1</t>
  </si>
  <si>
    <t>Année 2</t>
  </si>
  <si>
    <t>Année 3</t>
  </si>
  <si>
    <t>Année 4</t>
  </si>
  <si>
    <t>Année 5</t>
  </si>
  <si>
    <t>Année où la rentabilité est atteinte</t>
  </si>
  <si>
    <t>Planning des sprints</t>
  </si>
  <si>
    <t>Sprint</t>
  </si>
  <si>
    <t>Période</t>
  </si>
  <si>
    <t>Fonctionnalités</t>
  </si>
  <si>
    <t>Périmètre</t>
  </si>
  <si>
    <t>Livrables</t>
  </si>
  <si>
    <t>Sprint 1</t>
  </si>
  <si>
    <t>Semaines 1-2</t>
  </si>
  <si>
    <t>Inscription, sélection des styles, consentement</t>
  </si>
  <si>
    <t>PoC (1/2)</t>
  </si>
  <si>
    <t>Connexion à l'app, sélection des styles, consentement à la collecte des photos. Mise en place de l'infrastructure de dev.</t>
  </si>
  <si>
    <t>Sprint 2</t>
  </si>
  <si>
    <t>Semaines 3-4</t>
  </si>
  <si>
    <t>Prise de photo, garde-robe, droits RGPD</t>
  </si>
  <si>
    <t>Prise de photo, gestion de la garde-robe, accès et suppression des données. Étude de faisabilité du moteur de recommandation par photos : premier modèle entraîné sur un sous-ensemble du catalogue. Point de contrôle go/no-go en fin de sprint sur la performance du modèle avant d'engager les sprints suivants.</t>
  </si>
  <si>
    <t>Sprint 3</t>
  </si>
  <si>
    <t>Semaines 5-6</t>
  </si>
  <si>
    <t>Moteur de recommandation par préférences</t>
  </si>
  <si>
    <t>Moteur préférences</t>
  </si>
  <si>
    <t>Recommandation à partir des styles et préférences déclarés.</t>
  </si>
  <si>
    <t>Sprint 4</t>
  </si>
  <si>
    <t>Semaines 7-8</t>
  </si>
  <si>
    <t>Moteur de recommandation par photos (1re moitié)</t>
  </si>
  <si>
    <t>Cœur IA</t>
  </si>
  <si>
    <t>Démarrage du moteur visuel : exploration, pipeline de données, premier modèle.</t>
  </si>
  <si>
    <t>Sprint 5</t>
  </si>
  <si>
    <t>Semaines 9-10</t>
  </si>
  <si>
    <t>Moteur photos (fin), sélection des marques</t>
  </si>
  <si>
    <t>MVP livré</t>
  </si>
  <si>
    <t>Le MVP est livré et peut être ouvert aux premiers utilisateurs.</t>
  </si>
  <si>
    <t>Sprint 6</t>
  </si>
  <si>
    <t>Semaines 11-12</t>
  </si>
  <si>
    <t>Achat, avis, purge automatique</t>
  </si>
  <si>
    <t>Mise en service</t>
  </si>
  <si>
    <t>Intégration au panier du site existant, retour utilisateur, purge automatique.</t>
  </si>
  <si>
    <t>Sprint 7</t>
  </si>
  <si>
    <t>Semaines 13-14</t>
  </si>
  <si>
    <t>Affichage sur la photo (1re moitié)</t>
  </si>
  <si>
    <t>Enrichissement V1</t>
  </si>
  <si>
    <t>Démarrage de l'affichage du vêtement recommandé sur la photo.</t>
  </si>
  <si>
    <t>Sprint 8</t>
  </si>
  <si>
    <t>Semaines 15-16</t>
  </si>
  <si>
    <t>Affichage (fin), changement de couleur</t>
  </si>
  <si>
    <t>Finalisation de l'affichage. Changement de couleur du vêtement.</t>
  </si>
  <si>
    <t>Sprint 9</t>
  </si>
  <si>
    <t>Semaines 17-18</t>
  </si>
  <si>
    <t>Changement de style, sources d'inspiration</t>
  </si>
  <si>
    <t>V1 complète</t>
  </si>
  <si>
    <t>Changement de style. Sources d'inspiration externes. Version 1 complète.</t>
  </si>
  <si>
    <t>18 semaines</t>
  </si>
  <si>
    <t>Registre des traitements</t>
  </si>
  <si>
    <t>Coordonnées du responsable de traitement</t>
  </si>
  <si>
    <t>Nom de l'organisme</t>
  </si>
  <si>
    <t>Fashion-Insta</t>
  </si>
  <si>
    <t>Adresse électronique</t>
  </si>
  <si>
    <t>dpo@fashion-insta.fr</t>
  </si>
  <si>
    <t>Coordonnées du délégué à la protection des données</t>
  </si>
  <si>
    <t>Liste des traitements</t>
  </si>
  <si>
    <t>N°</t>
  </si>
  <si>
    <t>Nom du traitement</t>
  </si>
  <si>
    <t>Finalité principale</t>
  </si>
  <si>
    <t>Date de création</t>
  </si>
  <si>
    <t>Données sensibles ?</t>
  </si>
  <si>
    <t>AIPD requise ?</t>
  </si>
  <si>
    <t>1</t>
  </si>
  <si>
    <t>Gestion des comptes utilisateurs</t>
  </si>
  <si>
    <t>Création des comptes, authentification, gestion des préférences</t>
  </si>
  <si>
    <t>2026</t>
  </si>
  <si>
    <t>Non</t>
  </si>
  <si>
    <t>2</t>
  </si>
  <si>
    <t>Recommandation à partir des photos</t>
  </si>
  <si>
    <t>Suggérer des articles du catalogue à partir des photos envoyées par l'utilisateur</t>
  </si>
  <si>
    <t>Oui</t>
  </si>
  <si>
    <t>3</t>
  </si>
  <si>
    <t>Recommandation à partir des préférences</t>
  </si>
  <si>
    <t>Suggérer des articles à partir des styles et marques choisis par l'utilisateur</t>
  </si>
  <si>
    <t>4</t>
  </si>
  <si>
    <t>Gestion des achats</t>
  </si>
  <si>
    <t>Reprise du panier, commande et livraison via le site existant</t>
  </si>
  <si>
    <t>Fiche de registre du traitement n° 2</t>
  </si>
  <si>
    <t>Recommandation à partir des photos de l'utilisateur</t>
  </si>
  <si>
    <t>Description du traitement</t>
  </si>
  <si>
    <t>Dernière mise à jour</t>
  </si>
  <si>
    <t>User story concernée</t>
  </si>
  <si>
    <t>Recommandation à partir de ma garde-robe (n°4 du backlog)</t>
  </si>
  <si>
    <t>Acteurs</t>
  </si>
  <si>
    <t>Responsable du traitement</t>
  </si>
  <si>
    <t>DPO interne de Fashion-Insta</t>
  </si>
  <si>
    <t>Sous-traitant</t>
  </si>
  <si>
    <t>Microsoft Azure (hébergement, entraînement, inférence, stockage des photos)</t>
  </si>
  <si>
    <t>Finalité du traitement</t>
  </si>
  <si>
    <t>Proposer à l'utilisateur des articles du catalogue qui correspondent au style des vêtements visibles sur ses propres photos.</t>
  </si>
  <si>
    <t>Sous-finalité 1</t>
  </si>
  <si>
    <t>Améliorer la pertinence des recommandations au fil de l'utilisation.</t>
  </si>
  <si>
    <t>Sous-finalité 2</t>
  </si>
  <si>
    <t>Mesurer la qualité des recommandations pour améliorer le modèle.</t>
  </si>
  <si>
    <t>Base légale</t>
  </si>
  <si>
    <t>Base légale retenue</t>
  </si>
  <si>
    <t>Consentement (article 6.1.a du RGPD)</t>
  </si>
  <si>
    <t>Motif</t>
  </si>
  <si>
    <t>L'utilisateur envoie ses photos de son plein gré. Il donne son accord à la création du compte et avant chaque ajout de photo (voir user story n°14 du backlog).</t>
  </si>
  <si>
    <t>Catégories de données personnelles concernées</t>
  </si>
  <si>
    <t>Catégorie</t>
  </si>
  <si>
    <t>Description</t>
  </si>
  <si>
    <t>Durée de conservation</t>
  </si>
  <si>
    <t>Identification</t>
  </si>
  <si>
    <t>Identifiant de compte, adresse mail, date d'inscription</t>
  </si>
  <si>
    <t>Durée du compte + 1 an</t>
  </si>
  <si>
    <t>Images</t>
  </si>
  <si>
    <t>Photos envoyées par l'utilisateur. Personnelles car la personne y est reconnaissable.</t>
  </si>
  <si>
    <t>3 ans après la dernière activité, ou suppression sur demande</t>
  </si>
  <si>
    <t>Vecteurs (embeddings)</t>
  </si>
  <si>
    <t>Représentation numérique des photos calculée par le modèle. Sert à la recherche d'articles similaires.</t>
  </si>
  <si>
    <t>3 ans après la dernière activité</t>
  </si>
  <si>
    <t>Préférences et historique</t>
  </si>
  <si>
    <t>Styles déclarés, marques préférées, recommandations consultées, articles achetés, avis</t>
  </si>
  <si>
    <t>Données techniques</t>
  </si>
  <si>
    <t>Adresse IP, modèle de téléphone, version du système, journaux applicatifs</t>
  </si>
  <si>
    <t>6 mois pour les journaux, 1 an pour le reste</t>
  </si>
  <si>
    <t>Données sensibles (article 9 du RGPD)</t>
  </si>
  <si>
    <t>Données sensibles présentes ?</t>
  </si>
  <si>
    <t>Mesures prises</t>
  </si>
  <si>
    <t>Les photos servent uniquement à extraire les caractéristiques vestimentaires (forme, couleur, motif). Pas de reconnaissance faciale.</t>
  </si>
  <si>
    <t>AIPD obligatoire ?</t>
  </si>
  <si>
    <t>Oui. Le traitement coche trois critères CNIL sur neuf : profilage automatisé, traitement à grande échelle, usage innovant de l'IA sur l'image.</t>
  </si>
  <si>
    <t>Personnes concernées</t>
  </si>
  <si>
    <t>Catégorie principale</t>
  </si>
  <si>
    <t>Clients et prospects de Fashion-Insta utilisant l'application mobile</t>
  </si>
  <si>
    <t>Volume estimé</t>
  </si>
  <si>
    <t>À cadrer après le lancement</t>
  </si>
  <si>
    <t>Destinataires des données</t>
  </si>
  <si>
    <t>Destinataire</t>
  </si>
  <si>
    <t>Type</t>
  </si>
  <si>
    <t>Précisions</t>
  </si>
  <si>
    <t>Équipe IA de Fashion-Insta</t>
  </si>
  <si>
    <t>Service interne</t>
  </si>
  <si>
    <t>Accès aux photos en lecture seule, pour entraîner et évaluer les modèles. Données anonymisées dès que possible.</t>
  </si>
  <si>
    <t>Équipe technique de Fashion-Insta</t>
  </si>
  <si>
    <t>Accès aux journaux et aux métadonnées.</t>
  </si>
  <si>
    <t>Microsoft Azure</t>
  </si>
  <si>
    <t>L'utilisateur</t>
  </si>
  <si>
    <t>Personne concernée</t>
  </si>
  <si>
    <t>Accès à ses propres données via l'application.</t>
  </si>
  <si>
    <t>Mesures de sécurité</t>
  </si>
  <si>
    <t>Chiffrement</t>
  </si>
  <si>
    <t>Photos chiffrées au repos (Azure Storage Service Encryption) et en transit (TLS 1.3).</t>
  </si>
  <si>
    <t>Contrôle d'accès</t>
  </si>
  <si>
    <t>Authentification multifacteur pour les équipes internes. Journalisation des accès.</t>
  </si>
  <si>
    <t>Minimisation</t>
  </si>
  <si>
    <t>Photos transformées en vecteurs dès que possible. Originaux supprimés après la durée prévue.</t>
  </si>
  <si>
    <t>Cloisonnement</t>
  </si>
  <si>
    <t>Pas d'accès aux données de production depuis les environnements de dev et de test.</t>
  </si>
  <si>
    <t>Sauvegarde</t>
  </si>
  <si>
    <t>Sauvegardes quotidiennes chiffrées. Tests de restauration tous les trimestres.</t>
  </si>
  <si>
    <t>Traçabilité</t>
  </si>
  <si>
    <t>Journalisation de toutes les opérations sur les données personnelles.</t>
  </si>
  <si>
    <t>Sensibilisation</t>
  </si>
  <si>
    <t>Formation des équipes au RGPD. Procédure interne en cas d'incident.</t>
  </si>
  <si>
    <t>Transfert de données hors Union européenne</t>
  </si>
  <si>
    <t>Transfert prévu ?</t>
  </si>
  <si>
    <t>Non. Le traitement est hébergé sur les régions Azure France Centre et West Europe.</t>
  </si>
  <si>
    <t>Information et droits des personnes</t>
  </si>
  <si>
    <t>Information</t>
  </si>
  <si>
    <t>Une notice est présentée à la création du compte et avant le premier ajout de photo.</t>
  </si>
  <si>
    <t>Accès</t>
  </si>
  <si>
    <t>L'utilisateur peut consulter ses données depuis l'application (user story n°15).</t>
  </si>
  <si>
    <t>Rectification</t>
  </si>
  <si>
    <t>L'utilisateur peut modifier ses préférences et son profil à tout moment.</t>
  </si>
  <si>
    <t>Effacement</t>
  </si>
  <si>
    <t>L'utilisateur peut supprimer son compte et ses photos quand il le souhaite.</t>
  </si>
  <si>
    <t>Portabilité</t>
  </si>
  <si>
    <t>L'utilisateur peut télécharger ses données dans un format structuré.</t>
  </si>
  <si>
    <t>Opposition</t>
  </si>
  <si>
    <t>L'utilisateur peut désactiver les recommandations tout en gardant son compte.</t>
  </si>
  <si>
    <t>Retrait du consentement</t>
  </si>
  <si>
    <t>Le consentement peut être retiré à tout moment, sans conséquence sur les autres fonctionnalités.</t>
  </si>
  <si>
    <t>Analyse des risques du projet</t>
  </si>
  <si>
    <t>Facteurs de risque</t>
  </si>
  <si>
    <t>Risque
(événement redouté)</t>
  </si>
  <si>
    <t>Conséquence</t>
  </si>
  <si>
    <t>Impact</t>
  </si>
  <si>
    <t>Conséquences
(en coût, délai, qualité, satisfaction client)</t>
  </si>
  <si>
    <t>Impact
(0 à 3)</t>
  </si>
  <si>
    <t>Probabilité
(0 à 3)</t>
  </si>
  <si>
    <t>Criticité
(impact x prob.)</t>
  </si>
  <si>
    <t>Actions de prévention
(pour éviter l'événement redouté)</t>
  </si>
  <si>
    <t>Actions de correction
(si événement redouté avéré)</t>
  </si>
  <si>
    <t>Étant donné que ...</t>
  </si>
  <si>
    <t>Si ...</t>
  </si>
  <si>
    <t>Alors ...</t>
  </si>
  <si>
    <t>Périmètre — Les besoins couvrent deux moteurs IA et l'affichage virtuel, sans détail sur le niveau de qualité attendu.</t>
  </si>
  <si>
    <t>Le périmètre n'est pas assez cadré et de nouvelles attentes apparaissent en cours de projet.</t>
  </si>
  <si>
    <t>Effet tunnel sur la portée du projet</t>
  </si>
  <si>
    <t>Qualité</t>
  </si>
  <si>
    <t>Sprints qui s'allongent, fonctionnalités MVP retardées, surcoût, insatisfaction au moment des recettes.</t>
  </si>
  <si>
    <t>Backlog validé en revue avec la PO. Critères d'acceptation précis pour chaque user story. Atelier de cadrage en Sprint 1.</t>
  </si>
  <si>
    <t>Replanification en sprint review. Arbitrage entre périmètre, qualité et délai par la PO.</t>
  </si>
  <si>
    <t>Budget — Le chiffrage du moteur de recommandation par photos dépend des choix d'architecture.</t>
  </si>
  <si>
    <t>La complexité réelle dépasse l'estimation de départ.</t>
  </si>
  <si>
    <t>Dépassement du budget</t>
  </si>
  <si>
    <t>Coût</t>
  </si>
  <si>
    <t>Surcoût en main d'oeuvre et en infra. Arbitrage forcé en cours de projet.</t>
  </si>
  <si>
    <t>Étude de faisabilité en Sprint 1 et 2. Choix d'un modèle pré-entraîné plutôt que from scratch. Suivi du budget en fin de sprint.</t>
  </si>
  <si>
    <t>Coupe dans les fonctionnalités Should et Could. Réallocation avant demande de rallonge.</t>
  </si>
  <si>
    <t>Temps — Un concurrent prépare la même application, ce qui impose une mise sur le marché rapide.</t>
  </si>
  <si>
    <t>Le projet est livré après le concurrent.</t>
  </si>
  <si>
    <t>Perte d'avantage concurrentiel</t>
  </si>
  <si>
    <t>Délai</t>
  </si>
  <si>
    <t>Moins d'effet d'annonce, adoption plus lente, gains inférieurs aux prévisions du marketing.</t>
  </si>
  <si>
    <t>Priorisation stricte du MVP en Sprint 5. Mise sur le marché progressive en avant-première. Veille sur le concurrent.</t>
  </si>
  <si>
    <t>Communication sur les fonctionnalités différenciantes (try-on, garde-robe). Adaptation du plan marketing.</t>
  </si>
  <si>
    <t>Temps — Les développeurs mobiles sont aussi sur une autre application urgente.</t>
  </si>
  <si>
    <t>Ils sont peu disponibles et les sprints prennent du retard.</t>
  </si>
  <si>
    <t>Retard côté application</t>
  </si>
  <si>
    <t>Livraisons décalées, sprints qui se chevauchent, code livré dans l'urgence.</t>
  </si>
  <si>
    <t>Engagement formel sur leur taux de présence dans le contrat de projet. Prototypes des écrans pour éviter les blocages.</t>
  </si>
  <si>
    <t>Renfort par un développeur externe. Décalage des fonctionnalités hors MVP.</t>
  </si>
  <si>
    <t>Équipe — Le Data Scientist est junior et s'appuie sur un sous-traitant pour les modèles.</t>
  </si>
  <si>
    <t>La qualité des modèles n'est pas au rendez-vous, ou les modèles sont difficiles à maintenir en interne.</t>
  </si>
  <si>
    <t>Dépendance critique au sous-traitant</t>
  </si>
  <si>
    <t>Modèles peu performants ou peu explicables. Difficulté à maintenir la solution après la livraison.</t>
  </si>
  <si>
    <t>Sous-traitant choisi sur références. Pair programming avec le DS interne. Documentation imposée au sous-traitant.</t>
  </si>
  <si>
    <t>Formation accélérée du DS interne. Reprise progressive des modèles. Prolongation de la prestation si besoin.</t>
  </si>
  <si>
    <t>Décision — La PO (Alicia, VP product) est très sollicitée par d'autres projets.</t>
  </si>
  <si>
    <t>Les arbitrages traînent et les revues de sprint se font sans validation effective.</t>
  </si>
  <si>
    <t>Cycles de décision qui s'allongent</t>
  </si>
  <si>
    <t>Sprints validés a posteriori, décisions remises en cause après coup, refonte de fonctionnalités déjà livrées.</t>
  </si>
  <si>
    <t>Créneaux récurrents bloqués dans l'agenda de la PO. Suppléant pour les décisions de routine.</t>
  </si>
  <si>
    <t>Escalade vers le sponsor du projet. Décisions tracées par écrit.</t>
  </si>
  <si>
    <t>Complexité — Le jeu de données d'entraînement peut être déséquilibré (morphologies, genres, couleurs de peau, âges).</t>
  </si>
  <si>
    <t>Le modèle donne des résultats inégaux selon les profils d'utilisateurs.</t>
  </si>
  <si>
    <t>Biais du modèle</t>
  </si>
  <si>
    <t>Mécontentement des utilisateurs sous-représentés, mauvaise image de marque, risque de polémique.</t>
  </si>
  <si>
    <t>Audit du dataset d'entraînement : analyse de la représentativité (morphologies, genres, âges, couleurs de peau). Équilibrage du jeu de données par sur-échantillonnage des profils sous-représentés. Métriques de qualité du modèle calculées séparément par segment d'utilisateurs. Validation du modèle par un comité éthique interne avant chaque mise en production. Tests utilisateurs avec un panel diversifié. Inspiration : recommandations du documentaire Coded Bias et des travaux de Joy Buolamwini sur les biais des modèles de vision.</t>
  </si>
  <si>
    <t>Réentraînement ciblé du modèle sur les segments sous-performants. Mécanisme de signalement utilisateur intégré à l'application ("cette recommandation ne me correspond pas"). Communication transparente sur les limites du modèle dans les conditions générales. Possibilité pour l'utilisateur de basculer sur le moteur par préférences déclarées.</t>
  </si>
  <si>
    <t>Complexité — L'application traite des images de personnes, considérées comme des données personnelles sensibles.</t>
  </si>
  <si>
    <t>Une faille de sécurité expose les photos.</t>
  </si>
  <si>
    <t>Fuite de données personnelles</t>
  </si>
  <si>
    <t>Coût + Image</t>
  </si>
  <si>
    <t>Notification CNIL sous 72h. Sanction jusqu'à 4 % du chiffre d'affaires mondial. Atteinte grave à l'image.</t>
  </si>
  <si>
    <t>Chiffrement au repos et en transit. Authentification multifacteur pour les accès. Tests d'intrusion avant production.</t>
  </si>
  <si>
    <t>Plan d'incident activé. Notification CNIL et information des utilisateurs. Suspension du service si nécessaire.</t>
  </si>
  <si>
    <t>Innovation — La recommandation par photos est un usage récent de l'IA, avec peu de références publiques en France.</t>
  </si>
  <si>
    <t>Le modèle n'est pas assez performant pour convaincre les utilisateurs.</t>
  </si>
  <si>
    <t>Performance insuffisante</t>
  </si>
  <si>
    <t>Faible adoption, abandon de l'application après quelques essais. Les gains attendus ne se concrétisent pas.</t>
  </si>
  <si>
    <t>Étude de faisabilité en Sprint 1. Itérations courtes avec des utilisateurs pilotes. Suivi des indicateurs de qualité.</t>
  </si>
  <si>
    <t>Repli sur le moteur de recommandation par préférences pour les utilisateurs concernés. Itération sur le modèle.</t>
  </si>
  <si>
    <t>RGPD — Les contraintes sur les images sont fortes et l'AIPD est obligatoire.</t>
  </si>
  <si>
    <t>Le projet est mis en production sans AIPD finalisée ou avec des écarts non traités.</t>
  </si>
  <si>
    <t>Non-conformité RGPD</t>
  </si>
  <si>
    <t>Coût + Qualité</t>
  </si>
  <si>
    <t>Risque de sanction CNIL. Interdiction de poursuivre le traitement. Perte de confiance des utilisateurs.</t>
  </si>
  <si>
    <t>AIPD démarrée dès le Sprint 1, avec le DPO. Revue de conformité avant la mise en production. Principes Privacy by Design appliqués.</t>
  </si>
  <si>
    <t>Suspension de la fonctionnalité concernée. Plan d'action de l'AIPD. Communication transparente vers la CNIL.</t>
  </si>
  <si>
    <t>RGPD — La confiance des utilisateurs sur le dépôt de leurs photos conditionne l'adoption.</t>
  </si>
  <si>
    <t>Les utilisateurs refusent en masse de partager leurs photos.</t>
  </si>
  <si>
    <t>Pas assez de données pour le moteur</t>
  </si>
  <si>
    <t>Le moteur de recommandation par photos ne fonctionne pas bien faute de données. Baisse d'usage et des gains.</t>
  </si>
  <si>
    <t>Notice d'information claire. Mesures de sécurité visibles. Recueil progressif du consentement. Communication pédagogique au démarrage.</t>
  </si>
  <si>
    <t>Renforcement de la communication. Mise en avant du moteur de recommandation par préférences pour ceux qui ne veulent pas partager.</t>
  </si>
  <si>
    <t>RGPD — L'article 22 du RGPD donne le droit de ne pas être soumis à une décision automatisée.</t>
  </si>
  <si>
    <t>Un utilisateur fait valoir ce droit et conteste les recommandations.</t>
  </si>
  <si>
    <t>Mise en cause juridique</t>
  </si>
  <si>
    <t>Réponse à apporter sous un mois. Risque de plainte CNIL. Charge pour le DPO et les équipes juridiques.</t>
  </si>
  <si>
    <t>Présenter la recommandation comme une suggestion non contraignante. Plusieurs options proposées. Information sur le fonctionnement du moteur.</t>
  </si>
  <si>
    <t>Réponse motivée à l'utilisateur dans le délai. Désactivation de la recommandation à la demande, sans toucher au compte.</t>
  </si>
  <si>
    <t>AI Act — Le règlement européen sur l'IA (UE 2024/1689) impose des obligations de transparence, de documentation et de surveillance humaine pour les systèmes d'IA qui interagissent avec des personnes.</t>
  </si>
  <si>
    <t>L'application est mise en service sans avoir documenté la conformité AI Act (documentation technique, registre de la surveillance humaine, information de l'utilisateur).</t>
  </si>
  <si>
    <t>Non-conformité au règlement AI Act</t>
  </si>
  <si>
    <t>Risque de sanction (amendes prévues par le règlement). Obligation de retirer ou d'adapter le service. Impact réputationnel.</t>
  </si>
  <si>
    <t>Veille réglementaire sur l'AI Act dès le démarrage du projet. Documentation technique du modèle constituée au fil de l'eau (dataset, métriques, performances). Information explicite à l'utilisateur qu'il interagit avec un système d'IA. Mise en place d'un mécanisme de surveillance humaine sur les décisions du modèle. Point de conformité réalisé avant chaque mise en production.</t>
  </si>
  <si>
    <t>Mise à jour de la documentation et de l'interface si écart constaté. Suspension temporaire de la fonctionnalité concernée si nécessaire. Information préventive de la CNIL.</t>
  </si>
  <si>
    <t>PoC (2/2) : go/no-go</t>
  </si>
  <si>
    <t>Les photos ne sont pas listées comme sensibles à l'article 9. Mais elles s'en rapprochent dès qu'on les traite par un algorithme. Donc oui.</t>
  </si>
  <si>
    <t>Hébergement et traitement. Selon conformité à l'article 28 du RGPD.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</si>
</sst>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0.0%"/>
    <numFmt numFmtId="166" formatCode="0.0"/>
    <numFmt numFmtId="167" formatCode="#,##0&quot; €&quot;;[Red]\-#,##0&quot; €&quot;"/>
  </numFmts>
  <fonts count="14" x14ac:knownFonts="1">
    <font>
      <sz val="11"/>
      <color theme="1"/>
      <name val="Calibri"/>
      <family val="2"/>
      <charset val="1"/>
    </font>
    <font>
      <b/>
      <sz val="14"/>
      <color rgb="FF1F4E78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family val="2"/>
    </font>
    <font>
      <b/>
      <sz val="11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8FA8C6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DDEBF7"/>
      </patternFill>
    </fill>
    <fill>
      <patternFill patternType="solid">
        <fgColor rgb="FFF8CBAD"/>
        <bgColor rgb="FFFFC7CE"/>
      </patternFill>
    </fill>
  </fills>
  <borders count="4">
    <border>
      <left/>
      <right/>
      <top/>
      <bottom/>
      <diagonal/>
    </border>
    <border>
      <left style="thin">
        <color rgb="FF8FA8C6"/>
      </left>
      <right style="thin">
        <color rgb="FF8FA8C6"/>
      </right>
      <top style="thin">
        <color rgb="FF8FA8C6"/>
      </top>
      <bottom style="thin">
        <color rgb="FF8FA8C6"/>
      </bottom>
      <diagonal/>
    </border>
    <border>
      <left/>
      <right/>
      <top style="thin">
        <color rgb="FF8FA8C6"/>
      </top>
      <bottom style="thin">
        <color rgb="FF8FA8C6"/>
      </bottom>
      <diagonal/>
    </border>
    <border>
      <left/>
      <right style="thin">
        <color rgb="FF8FA8C6"/>
      </right>
      <top style="thin">
        <color rgb="FF8FA8C6"/>
      </top>
      <bottom style="thin">
        <color rgb="FF8FA8C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top" wrapText="1"/>
    </xf>
    <xf numFmtId="9" fontId="5" fillId="5" borderId="1" xfId="0" applyNumberFormat="1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4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right" vertical="center" wrapText="1"/>
    </xf>
    <xf numFmtId="167" fontId="4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1" fontId="3" fillId="4" borderId="1" xfId="0" applyNumberFormat="1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4" fillId="6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1" fontId="13" fillId="5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0666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5B9BD5"/>
      <rgbColor rgb="FF993366"/>
      <rgbColor rgb="FFFFF2CC"/>
      <rgbColor rgb="FFDDEBF7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8FA8C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83</xdr:row>
      <xdr:rowOff>76200</xdr:rowOff>
    </xdr:from>
    <xdr:ext cx="11391900" cy="56483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C4DF79CD-651D-45F1-9E89-8F3F0D82DE9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649950"/>
          <a:ext cx="11391900" cy="5648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zoomScaleNormal="100" workbookViewId="0">
      <pane ySplit="3" topLeftCell="A82" activePane="bottomLeft" state="frozen"/>
      <selection pane="bottomLeft" activeCell="M75" sqref="M75"/>
    </sheetView>
  </sheetViews>
  <sheetFormatPr baseColWidth="10" defaultColWidth="8.7109375" defaultRowHeight="15" x14ac:dyDescent="0.25"/>
  <cols>
    <col min="1" max="1" width="38" customWidth="1"/>
    <col min="2" max="3" width="14" customWidth="1"/>
    <col min="4" max="5" width="16" customWidth="1"/>
    <col min="6" max="11" width="14" customWidth="1"/>
  </cols>
  <sheetData>
    <row r="1" spans="1:11" ht="21.75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3" spans="1:11" ht="27.75" customHeight="1" x14ac:dyDescent="0.25">
      <c r="A3" s="43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40"/>
    </row>
    <row r="4" spans="1:11" ht="21.75" customHeight="1" x14ac:dyDescent="0.25">
      <c r="A4" s="4" t="s">
        <v>2</v>
      </c>
      <c r="B4" s="4" t="s">
        <v>3</v>
      </c>
      <c r="C4" s="47" t="s">
        <v>4</v>
      </c>
      <c r="D4" s="39"/>
      <c r="E4" s="39"/>
      <c r="F4" s="39"/>
      <c r="G4" s="39"/>
      <c r="H4" s="39"/>
      <c r="I4" s="39"/>
      <c r="J4" s="39"/>
      <c r="K4" s="40"/>
    </row>
    <row r="5" spans="1:11" ht="15" customHeight="1" x14ac:dyDescent="0.25">
      <c r="A5" s="7" t="s">
        <v>5</v>
      </c>
      <c r="B5" s="8">
        <v>700</v>
      </c>
      <c r="C5" s="38" t="s">
        <v>6</v>
      </c>
      <c r="D5" s="39"/>
      <c r="E5" s="39"/>
      <c r="F5" s="39"/>
      <c r="G5" s="39"/>
      <c r="H5" s="39"/>
      <c r="I5" s="39"/>
      <c r="J5" s="39"/>
      <c r="K5" s="40"/>
    </row>
    <row r="6" spans="1:11" ht="15" customHeight="1" x14ac:dyDescent="0.25">
      <c r="A6" s="7" t="s">
        <v>7</v>
      </c>
      <c r="B6" s="8">
        <v>750</v>
      </c>
      <c r="C6" s="38" t="s">
        <v>8</v>
      </c>
      <c r="D6" s="39"/>
      <c r="E6" s="39"/>
      <c r="F6" s="39"/>
      <c r="G6" s="39"/>
      <c r="H6" s="39"/>
      <c r="I6" s="39"/>
      <c r="J6" s="39"/>
      <c r="K6" s="40"/>
    </row>
    <row r="7" spans="1:11" ht="15" customHeight="1" x14ac:dyDescent="0.25">
      <c r="A7" s="7" t="s">
        <v>9</v>
      </c>
      <c r="B7" s="8">
        <v>850</v>
      </c>
      <c r="C7" s="38" t="s">
        <v>10</v>
      </c>
      <c r="D7" s="39"/>
      <c r="E7" s="39"/>
      <c r="F7" s="39"/>
      <c r="G7" s="39"/>
      <c r="H7" s="39"/>
      <c r="I7" s="39"/>
      <c r="J7" s="39"/>
      <c r="K7" s="40"/>
    </row>
    <row r="8" spans="1:11" ht="15" customHeight="1" x14ac:dyDescent="0.25">
      <c r="A8" s="7" t="s">
        <v>11</v>
      </c>
      <c r="B8" s="8">
        <v>600</v>
      </c>
      <c r="C8" s="38" t="s">
        <v>12</v>
      </c>
      <c r="D8" s="39"/>
      <c r="E8" s="39"/>
      <c r="F8" s="39"/>
      <c r="G8" s="39"/>
      <c r="H8" s="39"/>
      <c r="I8" s="39"/>
      <c r="J8" s="39"/>
      <c r="K8" s="40"/>
    </row>
    <row r="9" spans="1:11" ht="15" customHeight="1" x14ac:dyDescent="0.25">
      <c r="A9" s="7" t="s">
        <v>13</v>
      </c>
      <c r="B9" s="8">
        <v>650</v>
      </c>
      <c r="C9" s="38" t="s">
        <v>14</v>
      </c>
      <c r="D9" s="39"/>
      <c r="E9" s="39"/>
      <c r="F9" s="39"/>
      <c r="G9" s="39"/>
      <c r="H9" s="39"/>
      <c r="I9" s="39"/>
      <c r="J9" s="39"/>
      <c r="K9" s="40"/>
    </row>
    <row r="10" spans="1:11" ht="15" customHeight="1" x14ac:dyDescent="0.25">
      <c r="A10" s="7" t="s">
        <v>15</v>
      </c>
      <c r="B10" s="8">
        <v>550</v>
      </c>
      <c r="C10" s="38" t="s">
        <v>16</v>
      </c>
      <c r="D10" s="39"/>
      <c r="E10" s="39"/>
      <c r="F10" s="39"/>
      <c r="G10" s="39"/>
      <c r="H10" s="39"/>
      <c r="I10" s="39"/>
      <c r="J10" s="39"/>
      <c r="K10" s="40"/>
    </row>
    <row r="11" spans="1:11" ht="15" customHeight="1" x14ac:dyDescent="0.25">
      <c r="A11" s="7" t="s">
        <v>17</v>
      </c>
      <c r="B11" s="8">
        <v>700</v>
      </c>
      <c r="C11" s="38" t="s">
        <v>18</v>
      </c>
      <c r="D11" s="39"/>
      <c r="E11" s="39"/>
      <c r="F11" s="39"/>
      <c r="G11" s="39"/>
      <c r="H11" s="39"/>
      <c r="I11" s="39"/>
      <c r="J11" s="39"/>
      <c r="K11" s="40"/>
    </row>
    <row r="12" spans="1:11" ht="15" customHeight="1" x14ac:dyDescent="0.25">
      <c r="A12" s="7" t="s">
        <v>19</v>
      </c>
      <c r="B12" s="8">
        <v>600</v>
      </c>
      <c r="C12" s="38" t="s">
        <v>20</v>
      </c>
      <c r="D12" s="39"/>
      <c r="E12" s="39"/>
      <c r="F12" s="39"/>
      <c r="G12" s="39"/>
      <c r="H12" s="39"/>
      <c r="I12" s="39"/>
      <c r="J12" s="39"/>
      <c r="K12" s="40"/>
    </row>
    <row r="13" spans="1:11" ht="15" customHeight="1" x14ac:dyDescent="0.25">
      <c r="A13" s="7" t="s">
        <v>21</v>
      </c>
      <c r="B13" s="8">
        <v>500</v>
      </c>
      <c r="C13" s="38" t="s">
        <v>22</v>
      </c>
      <c r="D13" s="39"/>
      <c r="E13" s="39"/>
      <c r="F13" s="39"/>
      <c r="G13" s="39"/>
      <c r="H13" s="39"/>
      <c r="I13" s="39"/>
      <c r="J13" s="39"/>
      <c r="K13" s="40"/>
    </row>
    <row r="14" spans="1:11" ht="15" customHeight="1" x14ac:dyDescent="0.25">
      <c r="A14" s="7" t="s">
        <v>23</v>
      </c>
      <c r="B14" s="8">
        <v>800</v>
      </c>
      <c r="C14" s="38" t="s">
        <v>24</v>
      </c>
      <c r="D14" s="39"/>
      <c r="E14" s="39"/>
      <c r="F14" s="39"/>
      <c r="G14" s="39"/>
      <c r="H14" s="39"/>
      <c r="I14" s="39"/>
      <c r="J14" s="39"/>
      <c r="K14" s="40"/>
    </row>
    <row r="16" spans="1:11" ht="27.75" customHeight="1" x14ac:dyDescent="0.25">
      <c r="A16" s="43" t="s">
        <v>25</v>
      </c>
      <c r="B16" s="39"/>
      <c r="C16" s="39"/>
      <c r="D16" s="39"/>
      <c r="E16" s="39"/>
      <c r="F16" s="39"/>
      <c r="G16" s="39"/>
      <c r="H16" s="39"/>
      <c r="I16" s="39"/>
      <c r="J16" s="39"/>
      <c r="K16" s="40"/>
    </row>
    <row r="17" spans="1:11" ht="21.75" customHeight="1" x14ac:dyDescent="0.25">
      <c r="A17" s="4" t="s">
        <v>26</v>
      </c>
      <c r="B17" s="4" t="s">
        <v>27</v>
      </c>
      <c r="C17" s="47" t="s">
        <v>4</v>
      </c>
      <c r="D17" s="39"/>
      <c r="E17" s="39"/>
      <c r="F17" s="39"/>
      <c r="G17" s="39"/>
      <c r="H17" s="39"/>
      <c r="I17" s="39"/>
      <c r="J17" s="39"/>
      <c r="K17" s="40"/>
    </row>
    <row r="18" spans="1:11" ht="15" customHeight="1" x14ac:dyDescent="0.25">
      <c r="A18" s="7" t="s">
        <v>28</v>
      </c>
      <c r="B18" s="9">
        <v>2</v>
      </c>
      <c r="C18" s="38" t="s">
        <v>29</v>
      </c>
      <c r="D18" s="39"/>
      <c r="E18" s="39"/>
      <c r="F18" s="39"/>
      <c r="G18" s="39"/>
      <c r="H18" s="39"/>
      <c r="I18" s="39"/>
      <c r="J18" s="39"/>
      <c r="K18" s="40"/>
    </row>
    <row r="19" spans="1:11" ht="15" customHeight="1" x14ac:dyDescent="0.25">
      <c r="A19" s="7" t="s">
        <v>30</v>
      </c>
      <c r="B19" s="9">
        <v>9</v>
      </c>
      <c r="C19" s="38" t="s">
        <v>31</v>
      </c>
      <c r="D19" s="39"/>
      <c r="E19" s="39"/>
      <c r="F19" s="39"/>
      <c r="G19" s="39"/>
      <c r="H19" s="39"/>
      <c r="I19" s="39"/>
      <c r="J19" s="39"/>
      <c r="K19" s="40"/>
    </row>
    <row r="20" spans="1:11" ht="15" customHeight="1" x14ac:dyDescent="0.25">
      <c r="A20" s="7" t="s">
        <v>32</v>
      </c>
      <c r="B20" s="10">
        <v>0.15</v>
      </c>
      <c r="C20" s="38" t="s">
        <v>33</v>
      </c>
      <c r="D20" s="39"/>
      <c r="E20" s="39"/>
      <c r="F20" s="39"/>
      <c r="G20" s="39"/>
      <c r="H20" s="39"/>
      <c r="I20" s="39"/>
      <c r="J20" s="39"/>
      <c r="K20" s="40"/>
    </row>
    <row r="21" spans="1:11" ht="15" customHeight="1" x14ac:dyDescent="0.25">
      <c r="A21" s="7" t="s">
        <v>34</v>
      </c>
      <c r="B21" s="8">
        <v>25000</v>
      </c>
      <c r="C21" s="38" t="s">
        <v>35</v>
      </c>
      <c r="D21" s="39"/>
      <c r="E21" s="39"/>
      <c r="F21" s="39"/>
      <c r="G21" s="39"/>
      <c r="H21" s="39"/>
      <c r="I21" s="39"/>
      <c r="J21" s="39"/>
      <c r="K21" s="40"/>
    </row>
    <row r="22" spans="1:11" ht="15" customHeight="1" x14ac:dyDescent="0.25">
      <c r="A22" s="7" t="s">
        <v>36</v>
      </c>
      <c r="B22" s="8">
        <v>60000</v>
      </c>
      <c r="C22" s="38" t="s">
        <v>37</v>
      </c>
      <c r="D22" s="39"/>
      <c r="E22" s="39"/>
      <c r="F22" s="39"/>
      <c r="G22" s="39"/>
      <c r="H22" s="39"/>
      <c r="I22" s="39"/>
      <c r="J22" s="39"/>
      <c r="K22" s="40"/>
    </row>
    <row r="24" spans="1:11" ht="27.75" customHeight="1" x14ac:dyDescent="0.25">
      <c r="A24" s="43" t="s">
        <v>38</v>
      </c>
      <c r="B24" s="39"/>
      <c r="C24" s="39"/>
      <c r="D24" s="39"/>
      <c r="E24" s="39"/>
      <c r="F24" s="39"/>
      <c r="G24" s="39"/>
      <c r="H24" s="39"/>
      <c r="I24" s="39"/>
      <c r="J24" s="39"/>
      <c r="K24" s="40"/>
    </row>
    <row r="25" spans="1:11" ht="21.75" customHeight="1" x14ac:dyDescent="0.25">
      <c r="A25" s="4" t="s">
        <v>39</v>
      </c>
      <c r="B25" s="4" t="s">
        <v>27</v>
      </c>
      <c r="C25" s="47" t="s">
        <v>4</v>
      </c>
      <c r="D25" s="39"/>
      <c r="E25" s="39"/>
      <c r="F25" s="39"/>
      <c r="G25" s="39"/>
      <c r="H25" s="39"/>
      <c r="I25" s="39"/>
      <c r="J25" s="39"/>
      <c r="K25" s="40"/>
    </row>
    <row r="26" spans="1:11" ht="15" customHeight="1" x14ac:dyDescent="0.25">
      <c r="A26" s="7" t="s">
        <v>40</v>
      </c>
      <c r="B26" s="8">
        <v>300000</v>
      </c>
      <c r="C26" s="38" t="s">
        <v>41</v>
      </c>
      <c r="D26" s="39"/>
      <c r="E26" s="39"/>
      <c r="F26" s="39"/>
      <c r="G26" s="39"/>
      <c r="H26" s="39"/>
      <c r="I26" s="39"/>
      <c r="J26" s="39"/>
      <c r="K26" s="40"/>
    </row>
    <row r="27" spans="1:11" ht="15" customHeight="1" x14ac:dyDescent="0.25">
      <c r="A27" s="7" t="s">
        <v>42</v>
      </c>
      <c r="B27" s="10">
        <v>0.35</v>
      </c>
      <c r="C27" s="38" t="s">
        <v>43</v>
      </c>
      <c r="D27" s="39"/>
      <c r="E27" s="39"/>
      <c r="F27" s="39"/>
      <c r="G27" s="39"/>
      <c r="H27" s="39"/>
      <c r="I27" s="39"/>
      <c r="J27" s="39"/>
      <c r="K27" s="40"/>
    </row>
    <row r="28" spans="1:11" ht="15" customHeight="1" x14ac:dyDescent="0.25">
      <c r="A28" s="7" t="s">
        <v>44</v>
      </c>
      <c r="B28" s="10">
        <v>0.1</v>
      </c>
      <c r="C28" s="38" t="s">
        <v>45</v>
      </c>
      <c r="D28" s="39"/>
      <c r="E28" s="39"/>
      <c r="F28" s="39"/>
      <c r="G28" s="39"/>
      <c r="H28" s="39"/>
      <c r="I28" s="39"/>
      <c r="J28" s="39"/>
      <c r="K28" s="40"/>
    </row>
    <row r="30" spans="1:11" ht="27.75" customHeight="1" x14ac:dyDescent="0.25">
      <c r="A30" s="43" t="s">
        <v>46</v>
      </c>
      <c r="B30" s="39"/>
      <c r="C30" s="39"/>
      <c r="D30" s="39"/>
      <c r="E30" s="39"/>
      <c r="F30" s="39"/>
      <c r="G30" s="39"/>
      <c r="H30" s="39"/>
      <c r="I30" s="39"/>
      <c r="J30" s="39"/>
      <c r="K30" s="40"/>
    </row>
    <row r="31" spans="1:11" ht="36" customHeight="1" x14ac:dyDescent="0.25">
      <c r="A31" s="11" t="s">
        <v>47</v>
      </c>
      <c r="B31" s="11" t="s">
        <v>48</v>
      </c>
      <c r="C31" s="11" t="s">
        <v>5</v>
      </c>
      <c r="D31" s="11" t="s">
        <v>7</v>
      </c>
      <c r="E31" s="11" t="s">
        <v>9</v>
      </c>
      <c r="F31" s="11" t="s">
        <v>11</v>
      </c>
      <c r="G31" s="11" t="s">
        <v>13</v>
      </c>
      <c r="H31" s="11" t="s">
        <v>15</v>
      </c>
      <c r="I31" s="11" t="s">
        <v>49</v>
      </c>
    </row>
    <row r="32" spans="1:11" ht="15" customHeight="1" x14ac:dyDescent="0.25">
      <c r="A32" s="3" t="s">
        <v>50</v>
      </c>
      <c r="B32" s="12">
        <v>8</v>
      </c>
      <c r="C32" s="13">
        <v>0</v>
      </c>
      <c r="D32" s="13">
        <v>0</v>
      </c>
      <c r="E32" s="13">
        <v>0.1</v>
      </c>
      <c r="F32" s="13">
        <v>0.6</v>
      </c>
      <c r="G32" s="13">
        <v>0.2</v>
      </c>
      <c r="H32" s="13">
        <v>0.1</v>
      </c>
      <c r="I32" s="14">
        <f>B32*(C32*$B5+D32*$B6+E32*$B7+F32*$B8+G32*$B9+H32*$B10)</f>
        <v>5040</v>
      </c>
    </row>
    <row r="33" spans="1:9" ht="15" customHeight="1" x14ac:dyDescent="0.25">
      <c r="A33" s="3" t="s">
        <v>51</v>
      </c>
      <c r="B33" s="12">
        <v>10</v>
      </c>
      <c r="C33" s="13">
        <v>0</v>
      </c>
      <c r="D33" s="13">
        <v>0</v>
      </c>
      <c r="E33" s="13">
        <v>0</v>
      </c>
      <c r="F33" s="13">
        <v>0.8</v>
      </c>
      <c r="G33" s="13">
        <v>0</v>
      </c>
      <c r="H33" s="13">
        <v>0.2</v>
      </c>
      <c r="I33" s="14">
        <f>B33*(C33*$B5+D33*$B6+E33*$B7+F33*$B8+G33*$B9+H33*$B10)</f>
        <v>5900</v>
      </c>
    </row>
    <row r="34" spans="1:9" ht="15" customHeight="1" x14ac:dyDescent="0.25">
      <c r="A34" s="3" t="s">
        <v>52</v>
      </c>
      <c r="B34" s="12">
        <v>12</v>
      </c>
      <c r="C34" s="13">
        <v>0.15</v>
      </c>
      <c r="D34" s="13">
        <v>0</v>
      </c>
      <c r="E34" s="13">
        <v>0</v>
      </c>
      <c r="F34" s="13">
        <v>0.6</v>
      </c>
      <c r="G34" s="13">
        <v>0</v>
      </c>
      <c r="H34" s="13">
        <v>0.25</v>
      </c>
      <c r="I34" s="14">
        <f>B34*(C34*$B5+D34*$B6+E34*$B7+F34*$B8+G34*$B9+H34*$B10)</f>
        <v>7230</v>
      </c>
    </row>
    <row r="35" spans="1:9" ht="15" customHeight="1" x14ac:dyDescent="0.25">
      <c r="A35" s="3" t="s">
        <v>53</v>
      </c>
      <c r="B35" s="12">
        <v>70</v>
      </c>
      <c r="C35" s="13">
        <v>0.35</v>
      </c>
      <c r="D35" s="13">
        <v>0.3</v>
      </c>
      <c r="E35" s="13">
        <v>0.1</v>
      </c>
      <c r="F35" s="13">
        <v>0.15</v>
      </c>
      <c r="G35" s="13">
        <v>0.1</v>
      </c>
      <c r="H35" s="13">
        <v>0</v>
      </c>
      <c r="I35" s="14">
        <f>B35*(C35*$B5+D35*$B6+E35*$B7+F35*$B8+G35*$B9+H35*$B10)</f>
        <v>49700</v>
      </c>
    </row>
    <row r="36" spans="1:9" ht="15" customHeight="1" x14ac:dyDescent="0.25">
      <c r="A36" s="3" t="s">
        <v>54</v>
      </c>
      <c r="B36" s="12">
        <v>5</v>
      </c>
      <c r="C36" s="13">
        <v>0.1</v>
      </c>
      <c r="D36" s="13">
        <v>0</v>
      </c>
      <c r="E36" s="13">
        <v>0</v>
      </c>
      <c r="F36" s="13">
        <v>0.6</v>
      </c>
      <c r="G36" s="13">
        <v>0</v>
      </c>
      <c r="H36" s="13">
        <v>0.3</v>
      </c>
      <c r="I36" s="14">
        <f>B36*(C36*$B5+D36*$B6+E36*$B7+F36*$B8+G36*$B9+H36*$B10)</f>
        <v>2975</v>
      </c>
    </row>
    <row r="37" spans="1:9" ht="15" customHeight="1" x14ac:dyDescent="0.25">
      <c r="A37" s="3" t="s">
        <v>55</v>
      </c>
      <c r="B37" s="12">
        <v>5</v>
      </c>
      <c r="C37" s="13">
        <v>0</v>
      </c>
      <c r="D37" s="13">
        <v>0</v>
      </c>
      <c r="E37" s="13">
        <v>0</v>
      </c>
      <c r="F37" s="13">
        <v>0.7</v>
      </c>
      <c r="G37" s="13">
        <v>0</v>
      </c>
      <c r="H37" s="13">
        <v>0.3</v>
      </c>
      <c r="I37" s="14">
        <f>B37*(C37*$B5+D37*$B6+E37*$B7+F37*$B8+G37*$B9+H37*$B10)</f>
        <v>2925</v>
      </c>
    </row>
    <row r="38" spans="1:9" ht="15" customHeight="1" x14ac:dyDescent="0.25">
      <c r="A38" s="3" t="s">
        <v>56</v>
      </c>
      <c r="B38" s="12">
        <v>12</v>
      </c>
      <c r="C38" s="13">
        <v>0.25</v>
      </c>
      <c r="D38" s="13">
        <v>0</v>
      </c>
      <c r="E38" s="13">
        <v>0.05</v>
      </c>
      <c r="F38" s="13">
        <v>0.5</v>
      </c>
      <c r="G38" s="13">
        <v>0</v>
      </c>
      <c r="H38" s="13">
        <v>0.2</v>
      </c>
      <c r="I38" s="14">
        <f>B38*(C38*$B5+D38*$B6+E38*$B7+F38*$B8+G38*$B9+H38*$B10)</f>
        <v>7530</v>
      </c>
    </row>
    <row r="39" spans="1:9" ht="27.75" customHeight="1" x14ac:dyDescent="0.25">
      <c r="A39" s="3" t="s">
        <v>57</v>
      </c>
      <c r="B39" s="12">
        <v>35</v>
      </c>
      <c r="C39" s="13">
        <v>0.3</v>
      </c>
      <c r="D39" s="13">
        <v>0.3</v>
      </c>
      <c r="E39" s="13">
        <v>0.1</v>
      </c>
      <c r="F39" s="13">
        <v>0.2</v>
      </c>
      <c r="G39" s="13">
        <v>0.1</v>
      </c>
      <c r="H39" s="13">
        <v>0</v>
      </c>
      <c r="I39" s="14">
        <f>B39*(C39*$B5+D39*$B6+E39*$B7+F39*$B8+G39*$B9+H39*$B10)</f>
        <v>24675</v>
      </c>
    </row>
    <row r="40" spans="1:9" ht="27.75" customHeight="1" x14ac:dyDescent="0.25">
      <c r="A40" s="3" t="s">
        <v>58</v>
      </c>
      <c r="B40" s="12">
        <v>45</v>
      </c>
      <c r="C40" s="13">
        <v>0.25</v>
      </c>
      <c r="D40" s="13">
        <v>0.4</v>
      </c>
      <c r="E40" s="13">
        <v>0</v>
      </c>
      <c r="F40" s="13">
        <v>0.25</v>
      </c>
      <c r="G40" s="13">
        <v>0</v>
      </c>
      <c r="H40" s="13">
        <v>0.1</v>
      </c>
      <c r="I40" s="14">
        <f>B40*(C40*$B5+D40*$B6+E40*$B7+F40*$B8+G40*$B9+H40*$B10)</f>
        <v>30600</v>
      </c>
    </row>
    <row r="41" spans="1:9" ht="15" customHeight="1" x14ac:dyDescent="0.25">
      <c r="A41" s="3" t="s">
        <v>59</v>
      </c>
      <c r="B41" s="12">
        <v>20</v>
      </c>
      <c r="C41" s="13">
        <v>0.25</v>
      </c>
      <c r="D41" s="13">
        <v>0.4</v>
      </c>
      <c r="E41" s="13">
        <v>0</v>
      </c>
      <c r="F41" s="13">
        <v>0.25</v>
      </c>
      <c r="G41" s="13">
        <v>0</v>
      </c>
      <c r="H41" s="13">
        <v>0.1</v>
      </c>
      <c r="I41" s="14">
        <f>B41*(C41*$B5+D41*$B6+E41*$B7+F41*$B8+G41*$B9+H41*$B10)</f>
        <v>13600</v>
      </c>
    </row>
    <row r="42" spans="1:9" ht="15" customHeight="1" x14ac:dyDescent="0.25">
      <c r="A42" s="3" t="s">
        <v>60</v>
      </c>
      <c r="B42" s="12">
        <v>20</v>
      </c>
      <c r="C42" s="13">
        <v>0.25</v>
      </c>
      <c r="D42" s="13">
        <v>0.4</v>
      </c>
      <c r="E42" s="13">
        <v>0</v>
      </c>
      <c r="F42" s="13">
        <v>0.25</v>
      </c>
      <c r="G42" s="13">
        <v>0</v>
      </c>
      <c r="H42" s="13">
        <v>0.1</v>
      </c>
      <c r="I42" s="14">
        <f>B42*(C42*$B5+D42*$B6+E42*$B7+F42*$B8+G42*$B9+H42*$B10)</f>
        <v>13600</v>
      </c>
    </row>
    <row r="43" spans="1:9" ht="15" customHeight="1" x14ac:dyDescent="0.25">
      <c r="A43" s="3" t="s">
        <v>61</v>
      </c>
      <c r="B43" s="12">
        <v>8</v>
      </c>
      <c r="C43" s="13">
        <v>0.2</v>
      </c>
      <c r="D43" s="13">
        <v>0</v>
      </c>
      <c r="E43" s="13">
        <v>0</v>
      </c>
      <c r="F43" s="13">
        <v>0.6</v>
      </c>
      <c r="G43" s="13">
        <v>0</v>
      </c>
      <c r="H43" s="13">
        <v>0.2</v>
      </c>
      <c r="I43" s="14">
        <f>B43*(C43*$B5+D43*$B6+E43*$B7+F43*$B8+G43*$B9+H43*$B10)</f>
        <v>4880</v>
      </c>
    </row>
    <row r="44" spans="1:9" ht="15" customHeight="1" x14ac:dyDescent="0.25">
      <c r="A44" s="3" t="s">
        <v>62</v>
      </c>
      <c r="B44" s="12">
        <v>10</v>
      </c>
      <c r="C44" s="13">
        <v>0</v>
      </c>
      <c r="D44" s="13">
        <v>0</v>
      </c>
      <c r="E44" s="13">
        <v>0.1</v>
      </c>
      <c r="F44" s="13">
        <v>0.7</v>
      </c>
      <c r="G44" s="13">
        <v>0.2</v>
      </c>
      <c r="H44" s="13">
        <v>0</v>
      </c>
      <c r="I44" s="14">
        <f>B44*(C44*$B5+D44*$B6+E44*$B7+F44*$B8+G44*$B9+H44*$B10)</f>
        <v>6350</v>
      </c>
    </row>
    <row r="45" spans="1:9" ht="15" customHeight="1" x14ac:dyDescent="0.25">
      <c r="A45" s="3" t="s">
        <v>63</v>
      </c>
      <c r="B45" s="12">
        <v>8</v>
      </c>
      <c r="C45" s="13">
        <v>0</v>
      </c>
      <c r="D45" s="13">
        <v>0</v>
      </c>
      <c r="E45" s="13">
        <v>0</v>
      </c>
      <c r="F45" s="13">
        <v>0.5</v>
      </c>
      <c r="G45" s="13">
        <v>0.1</v>
      </c>
      <c r="H45" s="13">
        <v>0.2</v>
      </c>
      <c r="I45" s="14">
        <f>B45*(C45*$B5+D45*$B6+E45*$B7+F45*$B8+G45*$B9+H45*$B10)</f>
        <v>3800</v>
      </c>
    </row>
    <row r="46" spans="1:9" ht="27.75" customHeight="1" x14ac:dyDescent="0.25">
      <c r="A46" s="3" t="s">
        <v>64</v>
      </c>
      <c r="B46" s="12">
        <v>12</v>
      </c>
      <c r="C46" s="13">
        <v>0</v>
      </c>
      <c r="D46" s="13">
        <v>0</v>
      </c>
      <c r="E46" s="13">
        <v>0</v>
      </c>
      <c r="F46" s="13">
        <v>0.6</v>
      </c>
      <c r="G46" s="13">
        <v>0.25</v>
      </c>
      <c r="H46" s="13">
        <v>0.15</v>
      </c>
      <c r="I46" s="14">
        <f>B46*(C46*$B5+D46*$B6+E46*$B7+F46*$B8+G46*$B9+H46*$B10)</f>
        <v>7260</v>
      </c>
    </row>
    <row r="47" spans="1:9" ht="15" customHeight="1" x14ac:dyDescent="0.25">
      <c r="A47" s="3" t="s">
        <v>65</v>
      </c>
      <c r="B47" s="12">
        <v>10</v>
      </c>
      <c r="C47" s="13">
        <v>0</v>
      </c>
      <c r="D47" s="13">
        <v>0</v>
      </c>
      <c r="E47" s="13">
        <v>0</v>
      </c>
      <c r="F47" s="13">
        <v>0.3</v>
      </c>
      <c r="G47" s="13">
        <v>0.6</v>
      </c>
      <c r="H47" s="13">
        <v>0.1</v>
      </c>
      <c r="I47" s="14">
        <f>B47*(C47*$B5+D47*$B6+E47*$B7+F47*$B8+G47*$B9+H47*$B10)</f>
        <v>6250</v>
      </c>
    </row>
    <row r="48" spans="1:9" ht="15" customHeight="1" x14ac:dyDescent="0.25">
      <c r="A48" s="15" t="s">
        <v>66</v>
      </c>
      <c r="B48" s="16">
        <f>SUM(B32:B47)</f>
        <v>290</v>
      </c>
      <c r="C48" s="17"/>
      <c r="D48" s="17"/>
      <c r="E48" s="17"/>
      <c r="F48" s="17"/>
      <c r="G48" s="17"/>
      <c r="H48" s="17"/>
      <c r="I48" s="18">
        <f>SUM(I32:I47)</f>
        <v>192315</v>
      </c>
    </row>
    <row r="50" spans="1:11" ht="27.75" customHeight="1" x14ac:dyDescent="0.25">
      <c r="A50" s="43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40"/>
    </row>
    <row r="51" spans="1:11" ht="21.75" customHeight="1" x14ac:dyDescent="0.25">
      <c r="A51" s="4" t="s">
        <v>2</v>
      </c>
      <c r="B51" s="4" t="s">
        <v>48</v>
      </c>
      <c r="C51" s="4" t="s">
        <v>3</v>
      </c>
      <c r="D51" s="4" t="s">
        <v>68</v>
      </c>
      <c r="E51" s="47" t="s">
        <v>69</v>
      </c>
      <c r="F51" s="39"/>
      <c r="G51" s="39"/>
      <c r="H51" s="39"/>
      <c r="I51" s="39"/>
      <c r="J51" s="39"/>
      <c r="K51" s="40"/>
    </row>
    <row r="52" spans="1:11" ht="15" customHeight="1" x14ac:dyDescent="0.25">
      <c r="A52" s="7" t="s">
        <v>5</v>
      </c>
      <c r="B52" s="19">
        <f>SUMPRODUCT(C32:C47,$B$32:$B$47)</f>
        <v>63.15</v>
      </c>
      <c r="C52" s="20">
        <f t="shared" ref="C52:C61" si="0">B5</f>
        <v>700</v>
      </c>
      <c r="D52" s="21">
        <f t="shared" ref="D52:D61" si="1">B52*C52</f>
        <v>44205</v>
      </c>
      <c r="E52" s="38" t="s">
        <v>70</v>
      </c>
      <c r="F52" s="39"/>
      <c r="G52" s="39"/>
      <c r="H52" s="39"/>
      <c r="I52" s="39"/>
      <c r="J52" s="39"/>
      <c r="K52" s="40"/>
    </row>
    <row r="53" spans="1:11" ht="15" customHeight="1" x14ac:dyDescent="0.25">
      <c r="A53" s="7" t="s">
        <v>7</v>
      </c>
      <c r="B53" s="19">
        <f>SUMPRODUCT(D32:D47,$B$32:$B$47)</f>
        <v>65.5</v>
      </c>
      <c r="C53" s="20">
        <f t="shared" si="0"/>
        <v>750</v>
      </c>
      <c r="D53" s="21">
        <f t="shared" si="1"/>
        <v>49125</v>
      </c>
      <c r="E53" s="38" t="s">
        <v>71</v>
      </c>
      <c r="F53" s="39"/>
      <c r="G53" s="39"/>
      <c r="H53" s="39"/>
      <c r="I53" s="39"/>
      <c r="J53" s="39"/>
      <c r="K53" s="40"/>
    </row>
    <row r="54" spans="1:11" ht="15" customHeight="1" x14ac:dyDescent="0.25">
      <c r="A54" s="7" t="s">
        <v>9</v>
      </c>
      <c r="B54" s="19">
        <f>SUMPRODUCT(E32:E47,$B$32:$B$47)</f>
        <v>12.9</v>
      </c>
      <c r="C54" s="20">
        <f t="shared" si="0"/>
        <v>850</v>
      </c>
      <c r="D54" s="21">
        <f t="shared" si="1"/>
        <v>10965</v>
      </c>
      <c r="E54" s="38" t="s">
        <v>72</v>
      </c>
      <c r="F54" s="39"/>
      <c r="G54" s="39"/>
      <c r="H54" s="39"/>
      <c r="I54" s="39"/>
      <c r="J54" s="39"/>
      <c r="K54" s="40"/>
    </row>
    <row r="55" spans="1:11" ht="15" customHeight="1" x14ac:dyDescent="0.25">
      <c r="A55" s="7" t="s">
        <v>11</v>
      </c>
      <c r="B55" s="19">
        <f>SUMPRODUCT(F32:F47,$B$32:$B$47)</f>
        <v>97.25</v>
      </c>
      <c r="C55" s="20">
        <f t="shared" si="0"/>
        <v>600</v>
      </c>
      <c r="D55" s="21">
        <f t="shared" si="1"/>
        <v>58350</v>
      </c>
      <c r="E55" s="38" t="s">
        <v>73</v>
      </c>
      <c r="F55" s="39"/>
      <c r="G55" s="39"/>
      <c r="H55" s="39"/>
      <c r="I55" s="39"/>
      <c r="J55" s="39"/>
      <c r="K55" s="40"/>
    </row>
    <row r="56" spans="1:11" ht="15" customHeight="1" x14ac:dyDescent="0.25">
      <c r="A56" s="7" t="s">
        <v>13</v>
      </c>
      <c r="B56" s="19">
        <f>SUMPRODUCT(G32:G47,$B$32:$B$47)</f>
        <v>23.9</v>
      </c>
      <c r="C56" s="20">
        <f t="shared" si="0"/>
        <v>650</v>
      </c>
      <c r="D56" s="21">
        <f t="shared" si="1"/>
        <v>15534.999999999998</v>
      </c>
      <c r="E56" s="38" t="s">
        <v>74</v>
      </c>
      <c r="F56" s="39"/>
      <c r="G56" s="39"/>
      <c r="H56" s="39"/>
      <c r="I56" s="39"/>
      <c r="J56" s="39"/>
      <c r="K56" s="40"/>
    </row>
    <row r="57" spans="1:11" ht="15" customHeight="1" x14ac:dyDescent="0.25">
      <c r="A57" s="7" t="s">
        <v>15</v>
      </c>
      <c r="B57" s="19">
        <f>SUMPRODUCT(H32:H47,$B$32:$B$47)</f>
        <v>25.700000000000006</v>
      </c>
      <c r="C57" s="20">
        <f t="shared" si="0"/>
        <v>550</v>
      </c>
      <c r="D57" s="21">
        <f t="shared" si="1"/>
        <v>14135.000000000004</v>
      </c>
      <c r="E57" s="38" t="s">
        <v>75</v>
      </c>
      <c r="F57" s="39"/>
      <c r="G57" s="39"/>
      <c r="H57" s="39"/>
      <c r="I57" s="39"/>
      <c r="J57" s="39"/>
      <c r="K57" s="40"/>
    </row>
    <row r="58" spans="1:11" ht="15" customHeight="1" x14ac:dyDescent="0.25">
      <c r="A58" s="7" t="s">
        <v>17</v>
      </c>
      <c r="B58" s="19">
        <f>B19*B18*5*0.8</f>
        <v>72</v>
      </c>
      <c r="C58" s="20">
        <f t="shared" si="0"/>
        <v>700</v>
      </c>
      <c r="D58" s="21">
        <f t="shared" si="1"/>
        <v>50400</v>
      </c>
      <c r="E58" s="38" t="s">
        <v>76</v>
      </c>
      <c r="F58" s="39"/>
      <c r="G58" s="39"/>
      <c r="H58" s="39"/>
      <c r="I58" s="39"/>
      <c r="J58" s="39"/>
      <c r="K58" s="40"/>
    </row>
    <row r="59" spans="1:11" ht="15" customHeight="1" x14ac:dyDescent="0.25">
      <c r="A59" s="7" t="s">
        <v>19</v>
      </c>
      <c r="B59" s="19">
        <f>B19*B18*5*0.5</f>
        <v>45</v>
      </c>
      <c r="C59" s="20">
        <f t="shared" si="0"/>
        <v>600</v>
      </c>
      <c r="D59" s="21">
        <f t="shared" si="1"/>
        <v>27000</v>
      </c>
      <c r="E59" s="38" t="s">
        <v>77</v>
      </c>
      <c r="F59" s="39"/>
      <c r="G59" s="39"/>
      <c r="H59" s="39"/>
      <c r="I59" s="39"/>
      <c r="J59" s="39"/>
      <c r="K59" s="40"/>
    </row>
    <row r="60" spans="1:11" ht="15" customHeight="1" x14ac:dyDescent="0.25">
      <c r="A60" s="7" t="s">
        <v>21</v>
      </c>
      <c r="B60" s="19">
        <f>B19*B18*5*0.3</f>
        <v>27</v>
      </c>
      <c r="C60" s="20">
        <f t="shared" si="0"/>
        <v>500</v>
      </c>
      <c r="D60" s="21">
        <f t="shared" si="1"/>
        <v>13500</v>
      </c>
      <c r="E60" s="38" t="s">
        <v>78</v>
      </c>
      <c r="F60" s="39"/>
      <c r="G60" s="39"/>
      <c r="H60" s="39"/>
      <c r="I60" s="39"/>
      <c r="J60" s="39"/>
      <c r="K60" s="40"/>
    </row>
    <row r="61" spans="1:11" ht="15" customHeight="1" x14ac:dyDescent="0.25">
      <c r="A61" s="7" t="s">
        <v>23</v>
      </c>
      <c r="B61" s="19">
        <f>B19*B18*5*0.1</f>
        <v>9</v>
      </c>
      <c r="C61" s="20">
        <f t="shared" si="0"/>
        <v>800</v>
      </c>
      <c r="D61" s="21">
        <f t="shared" si="1"/>
        <v>7200</v>
      </c>
      <c r="E61" s="38" t="s">
        <v>24</v>
      </c>
      <c r="F61" s="39"/>
      <c r="G61" s="39"/>
      <c r="H61" s="39"/>
      <c r="I61" s="39"/>
      <c r="J61" s="39"/>
      <c r="K61" s="40"/>
    </row>
    <row r="62" spans="1:11" ht="15" customHeight="1" x14ac:dyDescent="0.25">
      <c r="A62" s="22" t="s">
        <v>79</v>
      </c>
      <c r="B62" s="23">
        <f>SUM(B52:B61)</f>
        <v>441.4</v>
      </c>
      <c r="C62" s="17"/>
      <c r="D62" s="18">
        <f>SUM(D52:D61)</f>
        <v>290415</v>
      </c>
      <c r="E62" s="49"/>
      <c r="F62" s="39"/>
      <c r="G62" s="39"/>
      <c r="H62" s="39"/>
      <c r="I62" s="39"/>
      <c r="J62" s="39"/>
      <c r="K62" s="40"/>
    </row>
    <row r="64" spans="1:11" ht="27.75" customHeight="1" x14ac:dyDescent="0.25">
      <c r="A64" s="43" t="s">
        <v>80</v>
      </c>
      <c r="B64" s="39"/>
      <c r="C64" s="39"/>
      <c r="D64" s="39"/>
      <c r="E64" s="39"/>
      <c r="F64" s="39"/>
      <c r="G64" s="39"/>
      <c r="H64" s="39"/>
      <c r="I64" s="39"/>
      <c r="J64" s="39"/>
      <c r="K64" s="40"/>
    </row>
    <row r="65" spans="1:11" ht="21.75" customHeight="1" x14ac:dyDescent="0.25">
      <c r="A65" s="47" t="s">
        <v>81</v>
      </c>
      <c r="B65" s="39"/>
      <c r="C65" s="39"/>
      <c r="D65" s="39"/>
      <c r="E65" s="39"/>
      <c r="F65" s="39"/>
      <c r="G65" s="39"/>
      <c r="H65" s="39"/>
      <c r="I65" s="39"/>
      <c r="J65" s="39"/>
      <c r="K65" s="40"/>
    </row>
    <row r="66" spans="1:11" ht="15" customHeight="1" x14ac:dyDescent="0.25">
      <c r="A66" s="38" t="s">
        <v>82</v>
      </c>
      <c r="B66" s="39"/>
      <c r="C66" s="40"/>
      <c r="D66" s="50">
        <f>D62</f>
        <v>290415</v>
      </c>
      <c r="E66" s="39"/>
      <c r="F66" s="39"/>
      <c r="G66" s="39"/>
      <c r="H66" s="39"/>
      <c r="I66" s="39"/>
      <c r="J66" s="39"/>
      <c r="K66" s="40"/>
    </row>
    <row r="67" spans="1:11" ht="15" customHeight="1" x14ac:dyDescent="0.25">
      <c r="A67" s="38" t="s">
        <v>83</v>
      </c>
      <c r="B67" s="39"/>
      <c r="C67" s="40"/>
      <c r="D67" s="48">
        <f>B21</f>
        <v>25000</v>
      </c>
      <c r="E67" s="39"/>
      <c r="F67" s="39"/>
      <c r="G67" s="39"/>
      <c r="H67" s="39"/>
      <c r="I67" s="39"/>
      <c r="J67" s="39"/>
      <c r="K67" s="40"/>
    </row>
    <row r="68" spans="1:11" ht="15" customHeight="1" x14ac:dyDescent="0.25">
      <c r="A68" s="44" t="s">
        <v>84</v>
      </c>
      <c r="B68" s="39"/>
      <c r="C68" s="40"/>
      <c r="D68" s="41">
        <f>D66+D67</f>
        <v>315415</v>
      </c>
      <c r="E68" s="39"/>
      <c r="F68" s="39"/>
      <c r="G68" s="39"/>
      <c r="H68" s="39"/>
      <c r="I68" s="39"/>
      <c r="J68" s="39"/>
      <c r="K68" s="40"/>
    </row>
    <row r="70" spans="1:11" ht="21.75" customHeight="1" x14ac:dyDescent="0.25">
      <c r="A70" s="47" t="s">
        <v>85</v>
      </c>
      <c r="B70" s="39"/>
      <c r="C70" s="39"/>
      <c r="D70" s="39"/>
      <c r="E70" s="39"/>
      <c r="F70" s="39"/>
      <c r="G70" s="39"/>
      <c r="H70" s="39"/>
      <c r="I70" s="39"/>
      <c r="J70" s="39"/>
      <c r="K70" s="40"/>
    </row>
    <row r="71" spans="1:11" ht="15" customHeight="1" x14ac:dyDescent="0.25">
      <c r="A71" s="38" t="s">
        <v>86</v>
      </c>
      <c r="B71" s="39"/>
      <c r="C71" s="40"/>
      <c r="D71" s="48">
        <f>D66*B20</f>
        <v>43562.25</v>
      </c>
      <c r="E71" s="39"/>
      <c r="F71" s="39"/>
      <c r="G71" s="39"/>
      <c r="H71" s="39"/>
      <c r="I71" s="39"/>
      <c r="J71" s="39"/>
      <c r="K71" s="40"/>
    </row>
    <row r="72" spans="1:11" ht="15" customHeight="1" x14ac:dyDescent="0.25">
      <c r="A72" s="38" t="s">
        <v>87</v>
      </c>
      <c r="B72" s="39"/>
      <c r="C72" s="40"/>
      <c r="D72" s="48">
        <f>B22</f>
        <v>60000</v>
      </c>
      <c r="E72" s="39"/>
      <c r="F72" s="39"/>
      <c r="G72" s="39"/>
      <c r="H72" s="39"/>
      <c r="I72" s="39"/>
      <c r="J72" s="39"/>
      <c r="K72" s="40"/>
    </row>
    <row r="73" spans="1:11" ht="15" customHeight="1" x14ac:dyDescent="0.25">
      <c r="A73" s="44" t="s">
        <v>88</v>
      </c>
      <c r="B73" s="39"/>
      <c r="C73" s="40"/>
      <c r="D73" s="41">
        <f>D71+D72</f>
        <v>103562.25</v>
      </c>
      <c r="E73" s="39"/>
      <c r="F73" s="39"/>
      <c r="G73" s="39"/>
      <c r="H73" s="39"/>
      <c r="I73" s="39"/>
      <c r="J73" s="39"/>
      <c r="K73" s="40"/>
    </row>
    <row r="75" spans="1:11" ht="27.75" customHeight="1" x14ac:dyDescent="0.25">
      <c r="A75" s="43" t="s">
        <v>89</v>
      </c>
      <c r="B75" s="39"/>
      <c r="C75" s="39"/>
      <c r="D75" s="39"/>
      <c r="E75" s="39"/>
      <c r="F75" s="39"/>
      <c r="G75" s="39"/>
      <c r="H75" s="39"/>
      <c r="I75" s="39"/>
      <c r="J75" s="39"/>
      <c r="K75" s="40"/>
    </row>
    <row r="76" spans="1:11" ht="21.75" customHeight="1" x14ac:dyDescent="0.25">
      <c r="A76" s="4" t="s">
        <v>90</v>
      </c>
      <c r="B76" s="4" t="s">
        <v>91</v>
      </c>
      <c r="C76" s="4" t="s">
        <v>92</v>
      </c>
      <c r="D76" s="4" t="s">
        <v>93</v>
      </c>
      <c r="E76" s="4" t="s">
        <v>94</v>
      </c>
      <c r="F76" s="4" t="s">
        <v>95</v>
      </c>
      <c r="G76" s="4" t="s">
        <v>96</v>
      </c>
      <c r="H76" s="4" t="s">
        <v>97</v>
      </c>
    </row>
    <row r="77" spans="1:11" ht="15" customHeight="1" x14ac:dyDescent="0.25">
      <c r="A77" s="24" t="s">
        <v>98</v>
      </c>
      <c r="B77" s="20">
        <f>B26</f>
        <v>300000</v>
      </c>
      <c r="C77" s="25">
        <f>-(D68+D73)</f>
        <v>-418977.25</v>
      </c>
      <c r="D77" s="26">
        <f>B77+C77</f>
        <v>-118977.25</v>
      </c>
      <c r="E77" s="26">
        <f>D77</f>
        <v>-118977.25</v>
      </c>
      <c r="F77" s="27" t="str">
        <f>IF(E77&gt;=0,"Rentable","Non rentable")</f>
        <v>Non rentable</v>
      </c>
      <c r="G77" s="20">
        <f>B77</f>
        <v>300000</v>
      </c>
      <c r="H77" s="20">
        <f>-C77</f>
        <v>418977.25</v>
      </c>
    </row>
    <row r="78" spans="1:11" ht="15" customHeight="1" x14ac:dyDescent="0.25">
      <c r="A78" s="24" t="s">
        <v>99</v>
      </c>
      <c r="B78" s="20">
        <f>B77*(1+B27)</f>
        <v>405000</v>
      </c>
      <c r="C78" s="25">
        <f>-D73</f>
        <v>-103562.25</v>
      </c>
      <c r="D78" s="26">
        <f>B78+C78</f>
        <v>301437.75</v>
      </c>
      <c r="E78" s="26">
        <f>E77+D78</f>
        <v>182460.5</v>
      </c>
      <c r="F78" s="27" t="str">
        <f>IF(E78&gt;=0,"Rentable","Non rentable")</f>
        <v>Rentable</v>
      </c>
      <c r="G78" s="20">
        <f>G77+B78</f>
        <v>705000</v>
      </c>
      <c r="H78" s="20">
        <f>H77-C78</f>
        <v>522539.5</v>
      </c>
    </row>
    <row r="79" spans="1:11" ht="15" customHeight="1" x14ac:dyDescent="0.25">
      <c r="A79" s="24" t="s">
        <v>100</v>
      </c>
      <c r="B79" s="20">
        <f>B78*(1+B28)</f>
        <v>445500.00000000006</v>
      </c>
      <c r="C79" s="25">
        <f>-D73</f>
        <v>-103562.25</v>
      </c>
      <c r="D79" s="26">
        <f>B79+C79</f>
        <v>341937.75000000006</v>
      </c>
      <c r="E79" s="26">
        <f>E78+D79</f>
        <v>524398.25</v>
      </c>
      <c r="F79" s="27" t="str">
        <f>IF(E79&gt;=0,"Rentable","Non rentable")</f>
        <v>Rentable</v>
      </c>
      <c r="G79" s="20">
        <f>G78+B79</f>
        <v>1150500</v>
      </c>
      <c r="H79" s="20">
        <f>H78-C79</f>
        <v>626101.75</v>
      </c>
    </row>
    <row r="80" spans="1:11" ht="15" customHeight="1" x14ac:dyDescent="0.25">
      <c r="A80" s="24" t="s">
        <v>101</v>
      </c>
      <c r="B80" s="20">
        <f>B79*(1+B28)</f>
        <v>490050.00000000012</v>
      </c>
      <c r="C80" s="25">
        <f>-D73</f>
        <v>-103562.25</v>
      </c>
      <c r="D80" s="26">
        <f>B80+C80</f>
        <v>386487.75000000012</v>
      </c>
      <c r="E80" s="26">
        <f>E79+D80</f>
        <v>910886.00000000012</v>
      </c>
      <c r="F80" s="27" t="str">
        <f>IF(E80&gt;=0,"Rentable","Non rentable")</f>
        <v>Rentable</v>
      </c>
      <c r="G80" s="20">
        <f>G79+B80</f>
        <v>1640550</v>
      </c>
      <c r="H80" s="20">
        <f>H79-C80</f>
        <v>729664</v>
      </c>
    </row>
    <row r="81" spans="1:8" ht="15" customHeight="1" x14ac:dyDescent="0.25">
      <c r="A81" s="24" t="s">
        <v>102</v>
      </c>
      <c r="B81" s="20">
        <f>B80*(1+B28)</f>
        <v>539055.00000000012</v>
      </c>
      <c r="C81" s="25">
        <f>-D73</f>
        <v>-103562.25</v>
      </c>
      <c r="D81" s="26">
        <f>B81+C81</f>
        <v>435492.75000000012</v>
      </c>
      <c r="E81" s="26">
        <f>E80+D81</f>
        <v>1346378.7500000002</v>
      </c>
      <c r="F81" s="27" t="str">
        <f>IF(E81&gt;=0,"Rentable","Non rentable")</f>
        <v>Rentable</v>
      </c>
      <c r="G81" s="20">
        <f>G80+B81</f>
        <v>2179605</v>
      </c>
      <c r="H81" s="20">
        <f>H80-C81</f>
        <v>833226.25</v>
      </c>
    </row>
    <row r="83" spans="1:8" ht="15" customHeight="1" x14ac:dyDescent="0.25">
      <c r="A83" s="42" t="s">
        <v>103</v>
      </c>
      <c r="B83" s="39"/>
      <c r="C83" s="40"/>
      <c r="D83" s="16">
        <f>IFERROR(MATCH(TRUE(),INDEX(E77:E81&gt;=0,0),0),"plus de 5 ans")</f>
        <v>2</v>
      </c>
    </row>
  </sheetData>
  <mergeCells count="56">
    <mergeCell ref="C17:K17"/>
    <mergeCell ref="A66:C66"/>
    <mergeCell ref="A70:K70"/>
    <mergeCell ref="A75:K75"/>
    <mergeCell ref="A16:K16"/>
    <mergeCell ref="E62:K62"/>
    <mergeCell ref="A72:C72"/>
    <mergeCell ref="C5:K5"/>
    <mergeCell ref="C14:K14"/>
    <mergeCell ref="D73:K73"/>
    <mergeCell ref="A3:K3"/>
    <mergeCell ref="C28:K28"/>
    <mergeCell ref="E59:K59"/>
    <mergeCell ref="C4:K4"/>
    <mergeCell ref="D67:K67"/>
    <mergeCell ref="C6:K6"/>
    <mergeCell ref="E51:K51"/>
    <mergeCell ref="A67:C67"/>
    <mergeCell ref="C18:K18"/>
    <mergeCell ref="D71:K71"/>
    <mergeCell ref="C27:K27"/>
    <mergeCell ref="C12:K12"/>
    <mergeCell ref="C13:K13"/>
    <mergeCell ref="E58:K58"/>
    <mergeCell ref="C25:K25"/>
    <mergeCell ref="D66:K66"/>
    <mergeCell ref="A68:C68"/>
    <mergeCell ref="C19:K19"/>
    <mergeCell ref="A30:K30"/>
    <mergeCell ref="C8:K8"/>
    <mergeCell ref="A50:K50"/>
    <mergeCell ref="A73:C73"/>
    <mergeCell ref="E53:K53"/>
    <mergeCell ref="A1:K1"/>
    <mergeCell ref="C11:K11"/>
    <mergeCell ref="C20:K20"/>
    <mergeCell ref="E52:K52"/>
    <mergeCell ref="C10:K10"/>
    <mergeCell ref="C26:K26"/>
    <mergeCell ref="E55:K55"/>
    <mergeCell ref="E57:K57"/>
    <mergeCell ref="A24:K24"/>
    <mergeCell ref="A64:K64"/>
    <mergeCell ref="C22:K22"/>
    <mergeCell ref="C7:K7"/>
    <mergeCell ref="E60:K60"/>
    <mergeCell ref="C9:K9"/>
    <mergeCell ref="D68:K68"/>
    <mergeCell ref="A83:C83"/>
    <mergeCell ref="C21:K21"/>
    <mergeCell ref="E56:K56"/>
    <mergeCell ref="E54:K54"/>
    <mergeCell ref="E61:K61"/>
    <mergeCell ref="A65:K65"/>
    <mergeCell ref="A71:C71"/>
    <mergeCell ref="D72:K7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pane ySplit="3" topLeftCell="A4" activePane="bottomLeft" state="frozen"/>
      <selection pane="bottomLeft" activeCell="D24" sqref="D24"/>
    </sheetView>
  </sheetViews>
  <sheetFormatPr baseColWidth="10" defaultColWidth="8.7109375" defaultRowHeight="15" x14ac:dyDescent="0.25"/>
  <cols>
    <col min="1" max="1" width="11" customWidth="1"/>
    <col min="2" max="2" width="14" customWidth="1"/>
    <col min="3" max="3" width="35" customWidth="1"/>
    <col min="4" max="4" width="12" customWidth="1"/>
    <col min="5" max="5" width="22" customWidth="1"/>
    <col min="6" max="6" width="55" customWidth="1"/>
  </cols>
  <sheetData>
    <row r="1" spans="1:6" ht="21.75" customHeight="1" x14ac:dyDescent="0.25">
      <c r="A1" s="45" t="s">
        <v>104</v>
      </c>
      <c r="B1" s="46"/>
      <c r="C1" s="46"/>
      <c r="D1" s="46"/>
      <c r="E1" s="46"/>
      <c r="F1" s="46"/>
    </row>
    <row r="3" spans="1:6" ht="27.75" customHeight="1" x14ac:dyDescent="0.25">
      <c r="A3" s="1" t="s">
        <v>105</v>
      </c>
      <c r="B3" s="1" t="s">
        <v>106</v>
      </c>
      <c r="C3" s="1" t="s">
        <v>107</v>
      </c>
      <c r="D3" s="1" t="s">
        <v>48</v>
      </c>
      <c r="E3" s="1" t="s">
        <v>108</v>
      </c>
      <c r="F3" s="1" t="s">
        <v>109</v>
      </c>
    </row>
    <row r="4" spans="1:6" ht="54.75" customHeight="1" x14ac:dyDescent="0.25">
      <c r="A4" s="28" t="s">
        <v>110</v>
      </c>
      <c r="B4" s="6" t="s">
        <v>111</v>
      </c>
      <c r="C4" s="3" t="s">
        <v>112</v>
      </c>
      <c r="D4" s="29">
        <v>21</v>
      </c>
      <c r="E4" s="30" t="s">
        <v>113</v>
      </c>
      <c r="F4" s="3" t="s">
        <v>114</v>
      </c>
    </row>
    <row r="5" spans="1:6" ht="108" customHeight="1" x14ac:dyDescent="0.25">
      <c r="A5" s="28" t="s">
        <v>115</v>
      </c>
      <c r="B5" s="6" t="s">
        <v>116</v>
      </c>
      <c r="C5" s="3" t="s">
        <v>117</v>
      </c>
      <c r="D5" s="29">
        <v>34</v>
      </c>
      <c r="E5" s="30" t="s">
        <v>377</v>
      </c>
      <c r="F5" s="3" t="s">
        <v>118</v>
      </c>
    </row>
    <row r="6" spans="1:6" ht="54.75" customHeight="1" x14ac:dyDescent="0.25">
      <c r="A6" s="28" t="s">
        <v>119</v>
      </c>
      <c r="B6" s="6" t="s">
        <v>120</v>
      </c>
      <c r="C6" s="3" t="s">
        <v>121</v>
      </c>
      <c r="D6" s="29">
        <v>35</v>
      </c>
      <c r="E6" s="3" t="s">
        <v>122</v>
      </c>
      <c r="F6" s="3" t="s">
        <v>123</v>
      </c>
    </row>
    <row r="7" spans="1:6" ht="54.75" customHeight="1" x14ac:dyDescent="0.25">
      <c r="A7" s="28" t="s">
        <v>124</v>
      </c>
      <c r="B7" s="6" t="s">
        <v>125</v>
      </c>
      <c r="C7" s="3" t="s">
        <v>126</v>
      </c>
      <c r="D7" s="29">
        <v>35</v>
      </c>
      <c r="E7" s="3" t="s">
        <v>127</v>
      </c>
      <c r="F7" s="3" t="s">
        <v>128</v>
      </c>
    </row>
    <row r="8" spans="1:6" ht="54.75" customHeight="1" x14ac:dyDescent="0.25">
      <c r="A8" s="28" t="s">
        <v>129</v>
      </c>
      <c r="B8" s="6" t="s">
        <v>130</v>
      </c>
      <c r="C8" s="3" t="s">
        <v>131</v>
      </c>
      <c r="D8" s="29">
        <v>40</v>
      </c>
      <c r="E8" s="31" t="s">
        <v>132</v>
      </c>
      <c r="F8" s="3" t="s">
        <v>133</v>
      </c>
    </row>
    <row r="9" spans="1:6" ht="54.75" customHeight="1" x14ac:dyDescent="0.25">
      <c r="A9" s="28" t="s">
        <v>134</v>
      </c>
      <c r="B9" s="6" t="s">
        <v>135</v>
      </c>
      <c r="C9" s="3" t="s">
        <v>136</v>
      </c>
      <c r="D9" s="29">
        <v>28</v>
      </c>
      <c r="E9" s="3" t="s">
        <v>137</v>
      </c>
      <c r="F9" s="3" t="s">
        <v>138</v>
      </c>
    </row>
    <row r="10" spans="1:6" ht="54.75" customHeight="1" x14ac:dyDescent="0.25">
      <c r="A10" s="28" t="s">
        <v>139</v>
      </c>
      <c r="B10" s="6" t="s">
        <v>140</v>
      </c>
      <c r="C10" s="3" t="s">
        <v>141</v>
      </c>
      <c r="D10" s="29">
        <v>25</v>
      </c>
      <c r="E10" s="3" t="s">
        <v>142</v>
      </c>
      <c r="F10" s="3" t="s">
        <v>143</v>
      </c>
    </row>
    <row r="11" spans="1:6" ht="54.75" customHeight="1" x14ac:dyDescent="0.25">
      <c r="A11" s="28" t="s">
        <v>144</v>
      </c>
      <c r="B11" s="6" t="s">
        <v>145</v>
      </c>
      <c r="C11" s="3" t="s">
        <v>146</v>
      </c>
      <c r="D11" s="29">
        <v>40</v>
      </c>
      <c r="E11" s="3" t="s">
        <v>142</v>
      </c>
      <c r="F11" s="3" t="s">
        <v>147</v>
      </c>
    </row>
    <row r="12" spans="1:6" ht="54.75" customHeight="1" x14ac:dyDescent="0.25">
      <c r="A12" s="28" t="s">
        <v>148</v>
      </c>
      <c r="B12" s="6" t="s">
        <v>149</v>
      </c>
      <c r="C12" s="3" t="s">
        <v>150</v>
      </c>
      <c r="D12" s="29">
        <v>32</v>
      </c>
      <c r="E12" s="31" t="s">
        <v>151</v>
      </c>
      <c r="F12" s="3" t="s">
        <v>152</v>
      </c>
    </row>
    <row r="13" spans="1:6" ht="15" customHeight="1" x14ac:dyDescent="0.25">
      <c r="A13" s="51" t="s">
        <v>66</v>
      </c>
      <c r="B13" s="39"/>
      <c r="C13" s="40"/>
      <c r="D13" s="16">
        <f>SUM(D4:D12)</f>
        <v>290</v>
      </c>
      <c r="E13" s="44" t="s">
        <v>153</v>
      </c>
      <c r="F13" s="40"/>
    </row>
  </sheetData>
  <mergeCells count="3">
    <mergeCell ref="A1:F1"/>
    <mergeCell ref="A13:C13"/>
    <mergeCell ref="E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>
      <selection activeCell="E15" sqref="E15"/>
    </sheetView>
  </sheetViews>
  <sheetFormatPr baseColWidth="10" defaultColWidth="8.7109375" defaultRowHeight="15" x14ac:dyDescent="0.25"/>
  <cols>
    <col min="1" max="1" width="15.7109375" customWidth="1"/>
    <col min="2" max="2" width="32" customWidth="1"/>
    <col min="3" max="3" width="50" customWidth="1"/>
    <col min="4" max="4" width="14" customWidth="1"/>
    <col min="5" max="5" width="16" customWidth="1"/>
    <col min="6" max="6" width="14" customWidth="1"/>
  </cols>
  <sheetData>
    <row r="1" spans="1:6" ht="21.75" customHeight="1" x14ac:dyDescent="0.25">
      <c r="A1" s="45" t="s">
        <v>154</v>
      </c>
      <c r="B1" s="46"/>
      <c r="C1" s="46"/>
      <c r="D1" s="46"/>
      <c r="E1" s="46"/>
      <c r="F1" s="46"/>
    </row>
    <row r="3" spans="1:6" ht="27.75" customHeight="1" x14ac:dyDescent="0.25">
      <c r="A3" s="43" t="s">
        <v>155</v>
      </c>
      <c r="B3" s="39"/>
      <c r="C3" s="39"/>
      <c r="D3" s="39"/>
      <c r="E3" s="39"/>
      <c r="F3" s="40"/>
    </row>
    <row r="4" spans="1:6" ht="41.25" customHeight="1" x14ac:dyDescent="0.25">
      <c r="A4" s="2" t="s">
        <v>156</v>
      </c>
      <c r="B4" s="52" t="s">
        <v>157</v>
      </c>
      <c r="C4" s="39"/>
      <c r="D4" s="39"/>
      <c r="E4" s="39"/>
      <c r="F4" s="40"/>
    </row>
    <row r="5" spans="1:6" ht="33.75" customHeight="1" x14ac:dyDescent="0.25">
      <c r="A5" s="2" t="s">
        <v>158</v>
      </c>
      <c r="B5" s="52" t="s">
        <v>159</v>
      </c>
      <c r="C5" s="39"/>
      <c r="D5" s="39"/>
      <c r="E5" s="39"/>
      <c r="F5" s="40"/>
    </row>
    <row r="7" spans="1:6" ht="27.75" customHeight="1" x14ac:dyDescent="0.25">
      <c r="A7" s="43" t="s">
        <v>160</v>
      </c>
      <c r="B7" s="39"/>
      <c r="C7" s="39"/>
      <c r="D7" s="39"/>
      <c r="E7" s="39"/>
      <c r="F7" s="40"/>
    </row>
    <row r="8" spans="1:6" ht="41.25" customHeight="1" x14ac:dyDescent="0.25">
      <c r="A8" s="2" t="s">
        <v>158</v>
      </c>
      <c r="B8" s="52" t="s">
        <v>159</v>
      </c>
      <c r="C8" s="39"/>
      <c r="D8" s="39"/>
      <c r="E8" s="39"/>
      <c r="F8" s="40"/>
    </row>
    <row r="10" spans="1:6" ht="27.75" customHeight="1" x14ac:dyDescent="0.25">
      <c r="A10" s="43" t="s">
        <v>161</v>
      </c>
      <c r="B10" s="39"/>
      <c r="C10" s="39"/>
      <c r="D10" s="39"/>
      <c r="E10" s="39"/>
      <c r="F10" s="40"/>
    </row>
    <row r="11" spans="1:6" ht="27.75" customHeight="1" x14ac:dyDescent="0.25">
      <c r="A11" s="4" t="s">
        <v>162</v>
      </c>
      <c r="B11" s="4" t="s">
        <v>163</v>
      </c>
      <c r="C11" s="4" t="s">
        <v>164</v>
      </c>
      <c r="D11" s="4" t="s">
        <v>165</v>
      </c>
      <c r="E11" s="4" t="s">
        <v>166</v>
      </c>
      <c r="F11" s="4" t="s">
        <v>167</v>
      </c>
    </row>
    <row r="12" spans="1:6" ht="31.5" customHeight="1" x14ac:dyDescent="0.25">
      <c r="A12" s="28" t="s">
        <v>168</v>
      </c>
      <c r="B12" s="3" t="s">
        <v>169</v>
      </c>
      <c r="C12" s="3" t="s">
        <v>170</v>
      </c>
      <c r="D12" s="6" t="s">
        <v>171</v>
      </c>
      <c r="E12" s="6" t="s">
        <v>172</v>
      </c>
      <c r="F12" s="6" t="s">
        <v>172</v>
      </c>
    </row>
    <row r="13" spans="1:6" ht="31.5" customHeight="1" x14ac:dyDescent="0.25">
      <c r="A13" s="28" t="s">
        <v>173</v>
      </c>
      <c r="B13" s="5" t="s">
        <v>174</v>
      </c>
      <c r="C13" s="3" t="s">
        <v>175</v>
      </c>
      <c r="D13" s="6" t="s">
        <v>171</v>
      </c>
      <c r="E13" s="32" t="s">
        <v>176</v>
      </c>
      <c r="F13" s="32" t="s">
        <v>176</v>
      </c>
    </row>
    <row r="14" spans="1:6" ht="31.5" customHeight="1" x14ac:dyDescent="0.25">
      <c r="A14" s="28" t="s">
        <v>177</v>
      </c>
      <c r="B14" s="3" t="s">
        <v>178</v>
      </c>
      <c r="C14" s="3" t="s">
        <v>179</v>
      </c>
      <c r="D14" s="6" t="s">
        <v>171</v>
      </c>
      <c r="E14" s="6" t="s">
        <v>172</v>
      </c>
      <c r="F14" s="6" t="s">
        <v>172</v>
      </c>
    </row>
    <row r="15" spans="1:6" ht="31.5" customHeight="1" x14ac:dyDescent="0.25">
      <c r="A15" s="28" t="s">
        <v>180</v>
      </c>
      <c r="B15" s="3" t="s">
        <v>181</v>
      </c>
      <c r="C15" s="3" t="s">
        <v>182</v>
      </c>
      <c r="D15" s="6" t="s">
        <v>171</v>
      </c>
      <c r="E15" s="6" t="s">
        <v>172</v>
      </c>
      <c r="F15" s="6" t="s">
        <v>172</v>
      </c>
    </row>
  </sheetData>
  <mergeCells count="7">
    <mergeCell ref="A3:F3"/>
    <mergeCell ref="B8:F8"/>
    <mergeCell ref="A10:F10"/>
    <mergeCell ref="B5:F5"/>
    <mergeCell ref="A1:F1"/>
    <mergeCell ref="B4:F4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topLeftCell="A61" zoomScaleNormal="100" workbookViewId="0">
      <selection activeCell="B54" sqref="B54:D54"/>
    </sheetView>
  </sheetViews>
  <sheetFormatPr baseColWidth="10" defaultColWidth="8.7109375" defaultRowHeight="15" x14ac:dyDescent="0.25"/>
  <cols>
    <col min="1" max="1" width="26" customWidth="1"/>
    <col min="2" max="2" width="50" customWidth="1"/>
    <col min="3" max="4" width="22" customWidth="1"/>
  </cols>
  <sheetData>
    <row r="1" spans="1:4" ht="21.75" customHeight="1" x14ac:dyDescent="0.25">
      <c r="A1" s="45" t="s">
        <v>183</v>
      </c>
      <c r="B1" s="46"/>
      <c r="C1" s="46"/>
      <c r="D1" s="46"/>
    </row>
    <row r="3" spans="1:4" ht="27.75" customHeight="1" x14ac:dyDescent="0.25">
      <c r="A3" s="43" t="s">
        <v>185</v>
      </c>
      <c r="B3" s="39"/>
      <c r="C3" s="39"/>
      <c r="D3" s="40"/>
    </row>
    <row r="4" spans="1:4" ht="15" customHeight="1" x14ac:dyDescent="0.25">
      <c r="A4" s="2" t="s">
        <v>163</v>
      </c>
      <c r="B4" s="52" t="s">
        <v>184</v>
      </c>
      <c r="C4" s="39"/>
      <c r="D4" s="40"/>
    </row>
    <row r="5" spans="1:4" ht="15" customHeight="1" x14ac:dyDescent="0.25">
      <c r="A5" s="54" t="s">
        <v>162</v>
      </c>
      <c r="B5" s="52" t="s">
        <v>173</v>
      </c>
      <c r="C5" s="39"/>
      <c r="D5" s="40"/>
    </row>
    <row r="6" spans="1:4" ht="15" customHeight="1" x14ac:dyDescent="0.25">
      <c r="A6" s="2" t="s">
        <v>165</v>
      </c>
      <c r="B6" s="52">
        <v>2026</v>
      </c>
      <c r="C6" s="39"/>
      <c r="D6" s="40"/>
    </row>
    <row r="7" spans="1:4" ht="15" customHeight="1" x14ac:dyDescent="0.25">
      <c r="A7" s="2" t="s">
        <v>186</v>
      </c>
      <c r="B7" s="52">
        <v>2026</v>
      </c>
      <c r="C7" s="39"/>
      <c r="D7" s="40"/>
    </row>
    <row r="8" spans="1:4" ht="15" customHeight="1" x14ac:dyDescent="0.25">
      <c r="A8" s="2" t="s">
        <v>187</v>
      </c>
      <c r="B8" s="52" t="s">
        <v>188</v>
      </c>
      <c r="C8" s="39"/>
      <c r="D8" s="40"/>
    </row>
    <row r="10" spans="1:4" ht="27.75" customHeight="1" x14ac:dyDescent="0.25">
      <c r="A10" s="43" t="s">
        <v>189</v>
      </c>
      <c r="B10" s="39"/>
      <c r="C10" s="39"/>
      <c r="D10" s="40"/>
    </row>
    <row r="11" spans="1:4" ht="15" customHeight="1" x14ac:dyDescent="0.25">
      <c r="A11" s="2" t="s">
        <v>190</v>
      </c>
      <c r="B11" s="52" t="s">
        <v>157</v>
      </c>
      <c r="C11" s="39"/>
      <c r="D11" s="40"/>
    </row>
    <row r="12" spans="1:4" ht="27.75" customHeight="1" x14ac:dyDescent="0.25">
      <c r="A12" s="2" t="s">
        <v>23</v>
      </c>
      <c r="B12" s="52" t="s">
        <v>191</v>
      </c>
      <c r="C12" s="39"/>
      <c r="D12" s="40"/>
    </row>
    <row r="13" spans="1:4" ht="15" customHeight="1" x14ac:dyDescent="0.25">
      <c r="A13" s="2" t="s">
        <v>192</v>
      </c>
      <c r="B13" s="52" t="s">
        <v>193</v>
      </c>
      <c r="C13" s="39"/>
      <c r="D13" s="40"/>
    </row>
    <row r="15" spans="1:4" ht="27.75" customHeight="1" x14ac:dyDescent="0.25">
      <c r="A15" s="43" t="s">
        <v>194</v>
      </c>
      <c r="B15" s="39"/>
      <c r="C15" s="39"/>
      <c r="D15" s="40"/>
    </row>
    <row r="16" spans="1:4" ht="30.75" customHeight="1" x14ac:dyDescent="0.25">
      <c r="A16" s="2" t="s">
        <v>164</v>
      </c>
      <c r="B16" s="52" t="s">
        <v>195</v>
      </c>
      <c r="C16" s="39"/>
      <c r="D16" s="40"/>
    </row>
    <row r="17" spans="1:4" ht="15" customHeight="1" x14ac:dyDescent="0.25">
      <c r="A17" s="2" t="s">
        <v>196</v>
      </c>
      <c r="B17" s="52" t="s">
        <v>197</v>
      </c>
      <c r="C17" s="39"/>
      <c r="D17" s="40"/>
    </row>
    <row r="18" spans="1:4" ht="15" customHeight="1" x14ac:dyDescent="0.25">
      <c r="A18" s="2" t="s">
        <v>198</v>
      </c>
      <c r="B18" s="52" t="s">
        <v>199</v>
      </c>
      <c r="C18" s="39"/>
      <c r="D18" s="40"/>
    </row>
    <row r="20" spans="1:4" ht="27.75" customHeight="1" x14ac:dyDescent="0.25">
      <c r="A20" s="43" t="s">
        <v>200</v>
      </c>
      <c r="B20" s="39"/>
      <c r="C20" s="39"/>
      <c r="D20" s="40"/>
    </row>
    <row r="21" spans="1:4" ht="15" customHeight="1" x14ac:dyDescent="0.25">
      <c r="A21" s="2" t="s">
        <v>201</v>
      </c>
      <c r="B21" s="52" t="s">
        <v>202</v>
      </c>
      <c r="C21" s="39"/>
      <c r="D21" s="40"/>
    </row>
    <row r="22" spans="1:4" ht="33" customHeight="1" x14ac:dyDescent="0.25">
      <c r="A22" s="2" t="s">
        <v>203</v>
      </c>
      <c r="B22" s="52" t="s">
        <v>204</v>
      </c>
      <c r="C22" s="39"/>
      <c r="D22" s="40"/>
    </row>
    <row r="24" spans="1:4" ht="27.75" customHeight="1" x14ac:dyDescent="0.25">
      <c r="A24" s="43" t="s">
        <v>205</v>
      </c>
      <c r="B24" s="39"/>
      <c r="C24" s="39"/>
      <c r="D24" s="40"/>
    </row>
    <row r="25" spans="1:4" ht="21.75" customHeight="1" x14ac:dyDescent="0.25">
      <c r="A25" s="4" t="s">
        <v>206</v>
      </c>
      <c r="B25" s="4" t="s">
        <v>207</v>
      </c>
      <c r="C25" s="47" t="s">
        <v>208</v>
      </c>
      <c r="D25" s="40"/>
    </row>
    <row r="26" spans="1:4" ht="42" customHeight="1" x14ac:dyDescent="0.25">
      <c r="A26" s="33" t="s">
        <v>209</v>
      </c>
      <c r="B26" s="34" t="s">
        <v>210</v>
      </c>
      <c r="C26" s="53" t="s">
        <v>211</v>
      </c>
      <c r="D26" s="40"/>
    </row>
    <row r="27" spans="1:4" ht="42" customHeight="1" x14ac:dyDescent="0.25">
      <c r="A27" s="33" t="s">
        <v>212</v>
      </c>
      <c r="B27" s="34" t="s">
        <v>213</v>
      </c>
      <c r="C27" s="53" t="s">
        <v>214</v>
      </c>
      <c r="D27" s="40"/>
    </row>
    <row r="28" spans="1:4" ht="42" customHeight="1" x14ac:dyDescent="0.25">
      <c r="A28" s="33" t="s">
        <v>215</v>
      </c>
      <c r="B28" s="34" t="s">
        <v>216</v>
      </c>
      <c r="C28" s="53" t="s">
        <v>217</v>
      </c>
      <c r="D28" s="40"/>
    </row>
    <row r="29" spans="1:4" ht="42" customHeight="1" x14ac:dyDescent="0.25">
      <c r="A29" s="33" t="s">
        <v>218</v>
      </c>
      <c r="B29" s="34" t="s">
        <v>219</v>
      </c>
      <c r="C29" s="53" t="s">
        <v>211</v>
      </c>
      <c r="D29" s="40"/>
    </row>
    <row r="30" spans="1:4" ht="42" customHeight="1" x14ac:dyDescent="0.25">
      <c r="A30" s="33" t="s">
        <v>220</v>
      </c>
      <c r="B30" s="34" t="s">
        <v>221</v>
      </c>
      <c r="C30" s="53" t="s">
        <v>222</v>
      </c>
      <c r="D30" s="40"/>
    </row>
    <row r="32" spans="1:4" ht="27.75" customHeight="1" x14ac:dyDescent="0.25">
      <c r="A32" s="43" t="s">
        <v>223</v>
      </c>
      <c r="B32" s="39"/>
      <c r="C32" s="39"/>
      <c r="D32" s="40"/>
    </row>
    <row r="33" spans="1:4" ht="32.25" customHeight="1" x14ac:dyDescent="0.25">
      <c r="A33" s="2" t="s">
        <v>224</v>
      </c>
      <c r="B33" s="55" t="s">
        <v>378</v>
      </c>
      <c r="C33" s="39"/>
      <c r="D33" s="40"/>
    </row>
    <row r="34" spans="1:4" ht="33.75" customHeight="1" x14ac:dyDescent="0.25">
      <c r="A34" s="2" t="s">
        <v>225</v>
      </c>
      <c r="B34" s="52" t="s">
        <v>226</v>
      </c>
      <c r="C34" s="39"/>
      <c r="D34" s="40"/>
    </row>
    <row r="35" spans="1:4" ht="38.25" customHeight="1" x14ac:dyDescent="0.25">
      <c r="A35" s="2" t="s">
        <v>227</v>
      </c>
      <c r="B35" s="52" t="s">
        <v>228</v>
      </c>
      <c r="C35" s="39"/>
      <c r="D35" s="40"/>
    </row>
    <row r="37" spans="1:4" ht="27.75" customHeight="1" x14ac:dyDescent="0.25">
      <c r="A37" s="43" t="s">
        <v>229</v>
      </c>
      <c r="B37" s="39"/>
      <c r="C37" s="39"/>
      <c r="D37" s="40"/>
    </row>
    <row r="38" spans="1:4" ht="15" customHeight="1" x14ac:dyDescent="0.25">
      <c r="A38" s="2" t="s">
        <v>230</v>
      </c>
      <c r="B38" s="52" t="s">
        <v>231</v>
      </c>
      <c r="C38" s="39"/>
      <c r="D38" s="40"/>
    </row>
    <row r="39" spans="1:4" ht="15" customHeight="1" x14ac:dyDescent="0.25">
      <c r="A39" s="2" t="s">
        <v>232</v>
      </c>
      <c r="B39" s="52" t="s">
        <v>233</v>
      </c>
      <c r="C39" s="39"/>
      <c r="D39" s="40"/>
    </row>
    <row r="41" spans="1:4" ht="27.75" customHeight="1" x14ac:dyDescent="0.25">
      <c r="A41" s="43" t="s">
        <v>234</v>
      </c>
      <c r="B41" s="39"/>
      <c r="C41" s="39"/>
      <c r="D41" s="40"/>
    </row>
    <row r="42" spans="1:4" ht="21.75" customHeight="1" x14ac:dyDescent="0.25">
      <c r="A42" s="4" t="s">
        <v>235</v>
      </c>
      <c r="B42" s="4" t="s">
        <v>236</v>
      </c>
      <c r="C42" s="47" t="s">
        <v>237</v>
      </c>
      <c r="D42" s="40"/>
    </row>
    <row r="43" spans="1:4" ht="39.75" customHeight="1" x14ac:dyDescent="0.25">
      <c r="A43" s="33" t="s">
        <v>238</v>
      </c>
      <c r="B43" s="34" t="s">
        <v>239</v>
      </c>
      <c r="C43" s="53" t="s">
        <v>240</v>
      </c>
      <c r="D43" s="40"/>
    </row>
    <row r="44" spans="1:4" ht="39.75" customHeight="1" x14ac:dyDescent="0.25">
      <c r="A44" s="33" t="s">
        <v>241</v>
      </c>
      <c r="B44" s="34" t="s">
        <v>239</v>
      </c>
      <c r="C44" s="53" t="s">
        <v>242</v>
      </c>
      <c r="D44" s="40"/>
    </row>
    <row r="45" spans="1:4" ht="39.75" customHeight="1" x14ac:dyDescent="0.25">
      <c r="A45" s="33" t="s">
        <v>243</v>
      </c>
      <c r="B45" s="34" t="s">
        <v>192</v>
      </c>
      <c r="C45" s="56" t="s">
        <v>379</v>
      </c>
      <c r="D45" s="40"/>
    </row>
    <row r="46" spans="1:4" ht="39.75" customHeight="1" x14ac:dyDescent="0.25">
      <c r="A46" s="33" t="s">
        <v>244</v>
      </c>
      <c r="B46" s="34" t="s">
        <v>245</v>
      </c>
      <c r="C46" s="53" t="s">
        <v>246</v>
      </c>
      <c r="D46" s="40"/>
    </row>
    <row r="48" spans="1:4" ht="27.75" customHeight="1" x14ac:dyDescent="0.25">
      <c r="A48" s="43" t="s">
        <v>247</v>
      </c>
      <c r="B48" s="39"/>
      <c r="C48" s="39"/>
      <c r="D48" s="40"/>
    </row>
    <row r="49" spans="1:4" ht="31.5" customHeight="1" x14ac:dyDescent="0.25">
      <c r="A49" s="35" t="s">
        <v>248</v>
      </c>
      <c r="B49" s="53" t="s">
        <v>249</v>
      </c>
      <c r="C49" s="39"/>
      <c r="D49" s="40"/>
    </row>
    <row r="50" spans="1:4" ht="31.5" customHeight="1" x14ac:dyDescent="0.25">
      <c r="A50" s="35" t="s">
        <v>250</v>
      </c>
      <c r="B50" s="53" t="s">
        <v>251</v>
      </c>
      <c r="C50" s="39"/>
      <c r="D50" s="40"/>
    </row>
    <row r="51" spans="1:4" ht="31.5" customHeight="1" x14ac:dyDescent="0.25">
      <c r="A51" s="35" t="s">
        <v>252</v>
      </c>
      <c r="B51" s="53" t="s">
        <v>253</v>
      </c>
      <c r="C51" s="39"/>
      <c r="D51" s="40"/>
    </row>
    <row r="52" spans="1:4" ht="31.5" customHeight="1" x14ac:dyDescent="0.25">
      <c r="A52" s="35" t="s">
        <v>254</v>
      </c>
      <c r="B52" s="53" t="s">
        <v>255</v>
      </c>
      <c r="C52" s="39"/>
      <c r="D52" s="40"/>
    </row>
    <row r="53" spans="1:4" ht="31.5" customHeight="1" x14ac:dyDescent="0.25">
      <c r="A53" s="35" t="s">
        <v>256</v>
      </c>
      <c r="B53" s="53" t="s">
        <v>257</v>
      </c>
      <c r="C53" s="39"/>
      <c r="D53" s="40"/>
    </row>
    <row r="54" spans="1:4" ht="31.5" customHeight="1" x14ac:dyDescent="0.25">
      <c r="A54" s="35" t="s">
        <v>258</v>
      </c>
      <c r="B54" s="53" t="s">
        <v>259</v>
      </c>
      <c r="C54" s="39"/>
      <c r="D54" s="40"/>
    </row>
    <row r="55" spans="1:4" ht="31.5" customHeight="1" x14ac:dyDescent="0.25">
      <c r="A55" s="35" t="s">
        <v>260</v>
      </c>
      <c r="B55" s="53" t="s">
        <v>261</v>
      </c>
      <c r="C55" s="39"/>
      <c r="D55" s="40"/>
    </row>
    <row r="57" spans="1:4" ht="27.75" customHeight="1" x14ac:dyDescent="0.25">
      <c r="A57" s="43" t="s">
        <v>262</v>
      </c>
      <c r="B57" s="39"/>
      <c r="C57" s="39"/>
      <c r="D57" s="40"/>
    </row>
    <row r="58" spans="1:4" ht="15" customHeight="1" x14ac:dyDescent="0.25">
      <c r="A58" s="2" t="s">
        <v>263</v>
      </c>
      <c r="B58" s="52" t="s">
        <v>264</v>
      </c>
      <c r="C58" s="39"/>
      <c r="D58" s="40"/>
    </row>
    <row r="60" spans="1:4" ht="27.75" customHeight="1" x14ac:dyDescent="0.25">
      <c r="A60" s="43" t="s">
        <v>265</v>
      </c>
      <c r="B60" s="39"/>
      <c r="C60" s="39"/>
      <c r="D60" s="40"/>
    </row>
    <row r="61" spans="1:4" ht="30" customHeight="1" x14ac:dyDescent="0.25">
      <c r="A61" s="35" t="s">
        <v>266</v>
      </c>
      <c r="B61" s="53" t="s">
        <v>267</v>
      </c>
      <c r="C61" s="39"/>
      <c r="D61" s="40"/>
    </row>
    <row r="62" spans="1:4" ht="30" customHeight="1" x14ac:dyDescent="0.25">
      <c r="A62" s="35" t="s">
        <v>268</v>
      </c>
      <c r="B62" s="53" t="s">
        <v>269</v>
      </c>
      <c r="C62" s="39"/>
      <c r="D62" s="40"/>
    </row>
    <row r="63" spans="1:4" ht="30" customHeight="1" x14ac:dyDescent="0.25">
      <c r="A63" s="35" t="s">
        <v>270</v>
      </c>
      <c r="B63" s="53" t="s">
        <v>271</v>
      </c>
      <c r="C63" s="39"/>
      <c r="D63" s="40"/>
    </row>
    <row r="64" spans="1:4" ht="30" customHeight="1" x14ac:dyDescent="0.25">
      <c r="A64" s="35" t="s">
        <v>272</v>
      </c>
      <c r="B64" s="53" t="s">
        <v>273</v>
      </c>
      <c r="C64" s="39"/>
      <c r="D64" s="40"/>
    </row>
    <row r="65" spans="1:4" ht="30" customHeight="1" x14ac:dyDescent="0.25">
      <c r="A65" s="35" t="s">
        <v>274</v>
      </c>
      <c r="B65" s="53" t="s">
        <v>275</v>
      </c>
      <c r="C65" s="39"/>
      <c r="D65" s="40"/>
    </row>
    <row r="66" spans="1:4" ht="30" customHeight="1" x14ac:dyDescent="0.25">
      <c r="A66" s="35" t="s">
        <v>276</v>
      </c>
      <c r="B66" s="53" t="s">
        <v>277</v>
      </c>
      <c r="C66" s="39"/>
      <c r="D66" s="40"/>
    </row>
    <row r="67" spans="1:4" ht="30" customHeight="1" x14ac:dyDescent="0.25">
      <c r="A67" s="35" t="s">
        <v>278</v>
      </c>
      <c r="B67" s="53" t="s">
        <v>279</v>
      </c>
      <c r="C67" s="39"/>
      <c r="D67" s="40"/>
    </row>
  </sheetData>
  <mergeCells count="56">
    <mergeCell ref="A32:D32"/>
    <mergeCell ref="B11:D11"/>
    <mergeCell ref="B38:D38"/>
    <mergeCell ref="A41:D41"/>
    <mergeCell ref="B6:D6"/>
    <mergeCell ref="B53:D53"/>
    <mergeCell ref="B58:D58"/>
    <mergeCell ref="B65:D65"/>
    <mergeCell ref="B21:D21"/>
    <mergeCell ref="A20:D20"/>
    <mergeCell ref="B17:D17"/>
    <mergeCell ref="C27:D27"/>
    <mergeCell ref="B55:D55"/>
    <mergeCell ref="B51:D51"/>
    <mergeCell ref="B5:D5"/>
    <mergeCell ref="B50:D50"/>
    <mergeCell ref="B63:D63"/>
    <mergeCell ref="A1:D1"/>
    <mergeCell ref="C42:D42"/>
    <mergeCell ref="B4:D4"/>
    <mergeCell ref="B35:D35"/>
    <mergeCell ref="C45:D45"/>
    <mergeCell ref="A60:D60"/>
    <mergeCell ref="B62:D62"/>
    <mergeCell ref="C26:D26"/>
    <mergeCell ref="B34:D34"/>
    <mergeCell ref="B49:D49"/>
    <mergeCell ref="A24:D24"/>
    <mergeCell ref="A15:D15"/>
    <mergeCell ref="B61:D61"/>
    <mergeCell ref="B67:D67"/>
    <mergeCell ref="A10:D10"/>
    <mergeCell ref="A48:D48"/>
    <mergeCell ref="C30:D30"/>
    <mergeCell ref="B54:D54"/>
    <mergeCell ref="A57:D57"/>
    <mergeCell ref="B39:D39"/>
    <mergeCell ref="B8:D8"/>
    <mergeCell ref="C43:D43"/>
    <mergeCell ref="B64:D64"/>
    <mergeCell ref="B13:D13"/>
    <mergeCell ref="B66:D66"/>
    <mergeCell ref="C29:D29"/>
    <mergeCell ref="B22:D22"/>
    <mergeCell ref="A3:D3"/>
    <mergeCell ref="B7:D7"/>
    <mergeCell ref="A37:D37"/>
    <mergeCell ref="B16:D16"/>
    <mergeCell ref="B12:D12"/>
    <mergeCell ref="C44:D44"/>
    <mergeCell ref="B52:D52"/>
    <mergeCell ref="C25:D25"/>
    <mergeCell ref="B33:D33"/>
    <mergeCell ref="B18:D18"/>
    <mergeCell ref="C28:D28"/>
    <mergeCell ref="C46:D4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17" sqref="D17"/>
    </sheetView>
  </sheetViews>
  <sheetFormatPr baseColWidth="10" defaultColWidth="8.7109375" defaultRowHeight="15" x14ac:dyDescent="0.25"/>
  <cols>
    <col min="1" max="1" width="38" customWidth="1"/>
    <col min="2" max="2" width="36" customWidth="1"/>
    <col min="3" max="3" width="22" customWidth="1"/>
    <col min="4" max="4" width="13" customWidth="1"/>
    <col min="5" max="5" width="38" customWidth="1"/>
    <col min="6" max="6" width="9" customWidth="1"/>
    <col min="7" max="8" width="11" customWidth="1"/>
    <col min="9" max="9" width="38" customWidth="1"/>
    <col min="10" max="10" width="36" customWidth="1"/>
  </cols>
  <sheetData>
    <row r="1" spans="1:10" ht="21.75" customHeight="1" x14ac:dyDescent="0.25">
      <c r="A1" s="45" t="s">
        <v>280</v>
      </c>
      <c r="B1" s="46"/>
      <c r="C1" s="46"/>
      <c r="D1" s="46"/>
      <c r="E1" s="46"/>
      <c r="F1" s="46"/>
      <c r="G1" s="46"/>
      <c r="H1" s="46"/>
      <c r="I1" s="46"/>
      <c r="J1" s="46"/>
    </row>
    <row r="3" spans="1:10" ht="48" customHeight="1" x14ac:dyDescent="0.25">
      <c r="A3" s="36" t="s">
        <v>281</v>
      </c>
      <c r="B3" s="36" t="s">
        <v>282</v>
      </c>
      <c r="C3" s="36" t="s">
        <v>283</v>
      </c>
      <c r="D3" s="36" t="s">
        <v>284</v>
      </c>
      <c r="E3" s="36" t="s">
        <v>285</v>
      </c>
      <c r="F3" s="36" t="s">
        <v>286</v>
      </c>
      <c r="G3" s="36" t="s">
        <v>287</v>
      </c>
      <c r="H3" s="36" t="s">
        <v>288</v>
      </c>
      <c r="I3" s="36" t="s">
        <v>289</v>
      </c>
      <c r="J3" s="36" t="s">
        <v>290</v>
      </c>
    </row>
    <row r="4" spans="1:10" ht="21.75" customHeight="1" x14ac:dyDescent="0.25">
      <c r="A4" s="11" t="s">
        <v>291</v>
      </c>
      <c r="B4" s="11" t="s">
        <v>292</v>
      </c>
      <c r="E4" s="11" t="s">
        <v>293</v>
      </c>
    </row>
    <row r="5" spans="1:10" ht="109.5" customHeight="1" x14ac:dyDescent="0.25">
      <c r="A5" s="34" t="s">
        <v>294</v>
      </c>
      <c r="B5" s="33" t="s">
        <v>295</v>
      </c>
      <c r="C5" s="34" t="s">
        <v>296</v>
      </c>
      <c r="D5" s="37" t="s">
        <v>297</v>
      </c>
      <c r="E5" s="34" t="s">
        <v>298</v>
      </c>
      <c r="F5" s="57">
        <v>2</v>
      </c>
      <c r="G5" s="57">
        <v>2</v>
      </c>
      <c r="H5" s="58">
        <f t="shared" ref="H5:H17" si="0">LEFT(F5,1)*LEFT(G5,1)</f>
        <v>4</v>
      </c>
      <c r="I5" s="34" t="s">
        <v>299</v>
      </c>
      <c r="J5" s="34" t="s">
        <v>300</v>
      </c>
    </row>
    <row r="6" spans="1:10" ht="109.5" customHeight="1" x14ac:dyDescent="0.25">
      <c r="A6" s="34" t="s">
        <v>301</v>
      </c>
      <c r="B6" s="33" t="s">
        <v>302</v>
      </c>
      <c r="C6" s="34" t="s">
        <v>303</v>
      </c>
      <c r="D6" s="37" t="s">
        <v>304</v>
      </c>
      <c r="E6" s="34" t="s">
        <v>305</v>
      </c>
      <c r="F6" s="57">
        <v>2</v>
      </c>
      <c r="G6" s="57">
        <v>2</v>
      </c>
      <c r="H6" s="58">
        <f t="shared" si="0"/>
        <v>4</v>
      </c>
      <c r="I6" s="34" t="s">
        <v>306</v>
      </c>
      <c r="J6" s="34" t="s">
        <v>307</v>
      </c>
    </row>
    <row r="7" spans="1:10" ht="109.5" customHeight="1" x14ac:dyDescent="0.25">
      <c r="A7" s="34" t="s">
        <v>308</v>
      </c>
      <c r="B7" s="33" t="s">
        <v>309</v>
      </c>
      <c r="C7" s="34" t="s">
        <v>310</v>
      </c>
      <c r="D7" s="37" t="s">
        <v>311</v>
      </c>
      <c r="E7" s="34" t="s">
        <v>312</v>
      </c>
      <c r="F7" s="57">
        <v>3</v>
      </c>
      <c r="G7" s="57">
        <v>2</v>
      </c>
      <c r="H7" s="58">
        <f t="shared" si="0"/>
        <v>6</v>
      </c>
      <c r="I7" s="34" t="s">
        <v>313</v>
      </c>
      <c r="J7" s="34" t="s">
        <v>314</v>
      </c>
    </row>
    <row r="8" spans="1:10" ht="109.5" customHeight="1" x14ac:dyDescent="0.25">
      <c r="A8" s="34" t="s">
        <v>315</v>
      </c>
      <c r="B8" s="33" t="s">
        <v>316</v>
      </c>
      <c r="C8" s="34" t="s">
        <v>317</v>
      </c>
      <c r="D8" s="37" t="s">
        <v>311</v>
      </c>
      <c r="E8" s="34" t="s">
        <v>318</v>
      </c>
      <c r="F8" s="57">
        <v>3</v>
      </c>
      <c r="G8" s="57">
        <v>2</v>
      </c>
      <c r="H8" s="58">
        <f t="shared" si="0"/>
        <v>6</v>
      </c>
      <c r="I8" s="34" t="s">
        <v>319</v>
      </c>
      <c r="J8" s="34" t="s">
        <v>320</v>
      </c>
    </row>
    <row r="9" spans="1:10" ht="109.5" customHeight="1" x14ac:dyDescent="0.25">
      <c r="A9" s="34" t="s">
        <v>321</v>
      </c>
      <c r="B9" s="33" t="s">
        <v>322</v>
      </c>
      <c r="C9" s="34" t="s">
        <v>323</v>
      </c>
      <c r="D9" s="37" t="s">
        <v>297</v>
      </c>
      <c r="E9" s="34" t="s">
        <v>324</v>
      </c>
      <c r="F9" s="57">
        <v>3</v>
      </c>
      <c r="G9" s="57">
        <v>2</v>
      </c>
      <c r="H9" s="58">
        <f t="shared" si="0"/>
        <v>6</v>
      </c>
      <c r="I9" s="34" t="s">
        <v>325</v>
      </c>
      <c r="J9" s="34" t="s">
        <v>326</v>
      </c>
    </row>
    <row r="10" spans="1:10" ht="109.5" customHeight="1" x14ac:dyDescent="0.25">
      <c r="A10" s="34" t="s">
        <v>327</v>
      </c>
      <c r="B10" s="33" t="s">
        <v>328</v>
      </c>
      <c r="C10" s="34" t="s">
        <v>329</v>
      </c>
      <c r="D10" s="37" t="s">
        <v>311</v>
      </c>
      <c r="E10" s="34" t="s">
        <v>330</v>
      </c>
      <c r="F10" s="57">
        <v>2</v>
      </c>
      <c r="G10" s="57">
        <v>2</v>
      </c>
      <c r="H10" s="58">
        <f t="shared" si="0"/>
        <v>4</v>
      </c>
      <c r="I10" s="34" t="s">
        <v>331</v>
      </c>
      <c r="J10" s="34" t="s">
        <v>332</v>
      </c>
    </row>
    <row r="11" spans="1:10" ht="180" customHeight="1" x14ac:dyDescent="0.25">
      <c r="A11" s="34" t="s">
        <v>333</v>
      </c>
      <c r="B11" s="33" t="s">
        <v>334</v>
      </c>
      <c r="C11" s="34" t="s">
        <v>335</v>
      </c>
      <c r="D11" s="37" t="s">
        <v>297</v>
      </c>
      <c r="E11" s="34" t="s">
        <v>336</v>
      </c>
      <c r="F11" s="57">
        <v>3</v>
      </c>
      <c r="G11" s="57">
        <v>2</v>
      </c>
      <c r="H11" s="58">
        <f t="shared" si="0"/>
        <v>6</v>
      </c>
      <c r="I11" s="34" t="s">
        <v>337</v>
      </c>
      <c r="J11" s="34" t="s">
        <v>338</v>
      </c>
    </row>
    <row r="12" spans="1:10" ht="109.5" customHeight="1" x14ac:dyDescent="0.25">
      <c r="A12" s="34" t="s">
        <v>339</v>
      </c>
      <c r="B12" s="33" t="s">
        <v>340</v>
      </c>
      <c r="C12" s="34" t="s">
        <v>341</v>
      </c>
      <c r="D12" s="37" t="s">
        <v>342</v>
      </c>
      <c r="E12" s="34" t="s">
        <v>343</v>
      </c>
      <c r="F12" s="57">
        <v>3</v>
      </c>
      <c r="G12" s="57">
        <v>1</v>
      </c>
      <c r="H12" s="58">
        <f t="shared" si="0"/>
        <v>3</v>
      </c>
      <c r="I12" s="34" t="s">
        <v>344</v>
      </c>
      <c r="J12" s="34" t="s">
        <v>345</v>
      </c>
    </row>
    <row r="13" spans="1:10" ht="109.5" customHeight="1" x14ac:dyDescent="0.25">
      <c r="A13" s="34" t="s">
        <v>346</v>
      </c>
      <c r="B13" s="33" t="s">
        <v>347</v>
      </c>
      <c r="C13" s="34" t="s">
        <v>348</v>
      </c>
      <c r="D13" s="37" t="s">
        <v>297</v>
      </c>
      <c r="E13" s="34" t="s">
        <v>349</v>
      </c>
      <c r="F13" s="57">
        <v>3</v>
      </c>
      <c r="G13" s="57">
        <v>2</v>
      </c>
      <c r="H13" s="58">
        <f t="shared" si="0"/>
        <v>6</v>
      </c>
      <c r="I13" s="34" t="s">
        <v>350</v>
      </c>
      <c r="J13" s="34" t="s">
        <v>351</v>
      </c>
    </row>
    <row r="14" spans="1:10" ht="109.5" customHeight="1" x14ac:dyDescent="0.25">
      <c r="A14" s="34" t="s">
        <v>352</v>
      </c>
      <c r="B14" s="33" t="s">
        <v>353</v>
      </c>
      <c r="C14" s="34" t="s">
        <v>354</v>
      </c>
      <c r="D14" s="37" t="s">
        <v>355</v>
      </c>
      <c r="E14" s="34" t="s">
        <v>356</v>
      </c>
      <c r="F14" s="57">
        <v>3</v>
      </c>
      <c r="G14" s="57">
        <v>1</v>
      </c>
      <c r="H14" s="58">
        <f t="shared" si="0"/>
        <v>3</v>
      </c>
      <c r="I14" s="34" t="s">
        <v>357</v>
      </c>
      <c r="J14" s="34" t="s">
        <v>358</v>
      </c>
    </row>
    <row r="15" spans="1:10" ht="109.5" customHeight="1" x14ac:dyDescent="0.25">
      <c r="A15" s="34" t="s">
        <v>359</v>
      </c>
      <c r="B15" s="33" t="s">
        <v>360</v>
      </c>
      <c r="C15" s="34" t="s">
        <v>361</v>
      </c>
      <c r="D15" s="37" t="s">
        <v>297</v>
      </c>
      <c r="E15" s="34" t="s">
        <v>362</v>
      </c>
      <c r="F15" s="57">
        <v>2</v>
      </c>
      <c r="G15" s="57">
        <v>2</v>
      </c>
      <c r="H15" s="58">
        <f t="shared" si="0"/>
        <v>4</v>
      </c>
      <c r="I15" s="34" t="s">
        <v>363</v>
      </c>
      <c r="J15" s="34" t="s">
        <v>364</v>
      </c>
    </row>
    <row r="16" spans="1:10" ht="109.5" customHeight="1" x14ac:dyDescent="0.25">
      <c r="A16" s="34" t="s">
        <v>365</v>
      </c>
      <c r="B16" s="33" t="s">
        <v>366</v>
      </c>
      <c r="C16" s="34" t="s">
        <v>367</v>
      </c>
      <c r="D16" s="37" t="s">
        <v>342</v>
      </c>
      <c r="E16" s="34" t="s">
        <v>368</v>
      </c>
      <c r="F16" s="57">
        <v>1</v>
      </c>
      <c r="G16" s="57">
        <v>2</v>
      </c>
      <c r="H16" s="58">
        <f t="shared" si="0"/>
        <v>2</v>
      </c>
      <c r="I16" s="34" t="s">
        <v>369</v>
      </c>
      <c r="J16" s="34" t="s">
        <v>370</v>
      </c>
    </row>
    <row r="17" spans="1:10" ht="129.75" customHeight="1" x14ac:dyDescent="0.25">
      <c r="A17" s="34" t="s">
        <v>371</v>
      </c>
      <c r="B17" s="33" t="s">
        <v>372</v>
      </c>
      <c r="C17" s="34" t="s">
        <v>373</v>
      </c>
      <c r="D17" s="37" t="s">
        <v>342</v>
      </c>
      <c r="E17" s="34" t="s">
        <v>374</v>
      </c>
      <c r="F17" s="57">
        <v>2</v>
      </c>
      <c r="G17" s="57">
        <v>1</v>
      </c>
      <c r="H17" s="58">
        <f t="shared" si="0"/>
        <v>2</v>
      </c>
      <c r="I17" s="34" t="s">
        <v>375</v>
      </c>
      <c r="J17" s="34" t="s">
        <v>376</v>
      </c>
    </row>
  </sheetData>
  <mergeCells count="1">
    <mergeCell ref="A1:J1"/>
  </mergeCells>
  <conditionalFormatting sqref="H5:H17">
    <cfRule type="cellIs" dxfId="3" priority="2" operator="lessThanOrEqual">
      <formula>2</formula>
    </cfRule>
    <cfRule type="cellIs" dxfId="2" priority="3" operator="between">
      <formula>3</formula>
      <formula>4</formula>
    </cfRule>
    <cfRule type="cellIs" dxfId="1" priority="4" operator="between">
      <formula>5</formula>
      <formula>6</formula>
    </cfRule>
    <cfRule type="cellIs" dxfId="0" priority="5" operator="greaterThanOrEqual">
      <formula>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Dimensionnement</vt:lpstr>
      <vt:lpstr>Planning_sprints</vt:lpstr>
      <vt:lpstr>Registre_CNIL_Liste</vt:lpstr>
      <vt:lpstr>Registre_CNIL_Fiche</vt:lpstr>
      <vt:lpstr>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</dc:creator>
  <cp:lastModifiedBy>Gui</cp:lastModifiedBy>
  <cp:revision>2</cp:revision>
  <dcterms:created xsi:type="dcterms:W3CDTF">2026-05-11T10:03:04Z</dcterms:created>
  <dcterms:modified xsi:type="dcterms:W3CDTF">2026-05-22T03:36:16Z</dcterms:modified>
  <dc:language>en-US</dc:language>
</cp:coreProperties>
</file>